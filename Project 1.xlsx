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charts/chart6.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OneDrive\Desktop\"/>
    </mc:Choice>
  </mc:AlternateContent>
  <xr:revisionPtr revIDLastSave="0" documentId="13_ncr:1_{16F22137-C4E8-49F3-9ED9-FD0914685CEB}" xr6:coauthVersionLast="47" xr6:coauthVersionMax="47" xr10:uidLastSave="{00000000-0000-0000-0000-000000000000}"/>
  <bookViews>
    <workbookView xWindow="-108" yWindow="-108" windowWidth="23256" windowHeight="12456" activeTab="4" xr2:uid="{00000000-000D-0000-FFFF-FFFF00000000}"/>
  </bookViews>
  <sheets>
    <sheet name="Q1" sheetId="1" r:id="rId1"/>
    <sheet name="Regression Q1" sheetId="11" r:id="rId2"/>
    <sheet name="Regression Q1 A" sheetId="12" r:id="rId3"/>
    <sheet name="Q2A" sheetId="19" r:id="rId4"/>
    <sheet name="Q2" sheetId="13" r:id="rId5"/>
    <sheet name="Q3" sheetId="8" r:id="rId6"/>
    <sheet name="Q2 (2)_STS" sheetId="14" state="veryHidden" r:id="rId7"/>
    <sheet name="Q2_STS" sheetId="4" state="veryHidden" r:id="rId8"/>
  </sheets>
  <definedNames>
    <definedName name="_xlchart.v1.0" hidden="1">'Q3'!$L$21</definedName>
    <definedName name="_xlchart.v1.1" hidden="1">'Q3'!$L$22:$L$1021</definedName>
    <definedName name="ChartData" localSheetId="3">Q2A!$K$5:$K$13</definedName>
    <definedName name="InputValues" localSheetId="3">Q2A!$A$5:$A$13</definedName>
    <definedName name="OutputAddresses" localSheetId="3">Q2A!$B$4</definedName>
    <definedName name="OutputValues" localSheetId="3">Q2A!$B$5:$B$13</definedName>
    <definedName name="solver_adj" localSheetId="4" hidden="1">'Q2'!$C$18:$F$20</definedName>
    <definedName name="solver_cvg" localSheetId="4" hidden="1">0.0001</definedName>
    <definedName name="solver_cvg" localSheetId="5" hidden="1">0.0001</definedName>
    <definedName name="solver_drv" localSheetId="4" hidden="1">2</definedName>
    <definedName name="solver_drv" localSheetId="5" hidden="1">2</definedName>
    <definedName name="solver_eng" localSheetId="4" hidden="1">2</definedName>
    <definedName name="solver_eng" localSheetId="5" hidden="1">2</definedName>
    <definedName name="solver_est" localSheetId="4" hidden="1">1</definedName>
    <definedName name="solver_est" localSheetId="5" hidden="1">1</definedName>
    <definedName name="solver_itr" localSheetId="4" hidden="1">2147483647</definedName>
    <definedName name="solver_itr" localSheetId="5" hidden="1">2147483647</definedName>
    <definedName name="solver_lhs1" localSheetId="4" hidden="1">'Q2'!$C$20</definedName>
    <definedName name="solver_lhs1" localSheetId="5" hidden="1">'Q3'!#REF!</definedName>
    <definedName name="solver_lhs2" localSheetId="4" hidden="1">'Q2'!$C$21:$F$21</definedName>
    <definedName name="solver_lhs2" localSheetId="5" hidden="1">'Q3'!#REF!</definedName>
    <definedName name="solver_lhs3" localSheetId="4" hidden="1">'Q2'!$E$25</definedName>
    <definedName name="solver_lhs3" localSheetId="5" hidden="1">'Q3'!#REF!</definedName>
    <definedName name="solver_lhs4" localSheetId="4" hidden="1">'Q2'!$G$18:$G$20</definedName>
    <definedName name="solver_lhs4" localSheetId="5" hidden="1">'Q3'!#REF!</definedName>
    <definedName name="solver_lhs5" localSheetId="4" hidden="1">'Q2'!#REF!</definedName>
    <definedName name="solver_lhs5" localSheetId="5" hidden="1">'Q3'!#REF!</definedName>
    <definedName name="solver_mip" localSheetId="4" hidden="1">2147483647</definedName>
    <definedName name="solver_mip" localSheetId="5" hidden="1">2147483647</definedName>
    <definedName name="solver_mni" localSheetId="4" hidden="1">30</definedName>
    <definedName name="solver_mni" localSheetId="5" hidden="1">30</definedName>
    <definedName name="solver_mrt" localSheetId="4" hidden="1">0.075</definedName>
    <definedName name="solver_mrt" localSheetId="5" hidden="1">0.075</definedName>
    <definedName name="solver_msl" localSheetId="4" hidden="1">2</definedName>
    <definedName name="solver_msl" localSheetId="5" hidden="1">2</definedName>
    <definedName name="solver_neg" localSheetId="4" hidden="1">1</definedName>
    <definedName name="solver_neg" localSheetId="5" hidden="1">1</definedName>
    <definedName name="solver_nod" localSheetId="4" hidden="1">2147483647</definedName>
    <definedName name="solver_nod" localSheetId="5" hidden="1">2147483647</definedName>
    <definedName name="solver_num" localSheetId="4" hidden="1">4</definedName>
    <definedName name="solver_num" localSheetId="5" hidden="1">0</definedName>
    <definedName name="solver_nwt" localSheetId="4" hidden="1">1</definedName>
    <definedName name="solver_nwt" localSheetId="5" hidden="1">1</definedName>
    <definedName name="solver_opt" localSheetId="4" hidden="1">'Q2'!$B$15</definedName>
    <definedName name="solver_pre" localSheetId="4" hidden="1">0.000001</definedName>
    <definedName name="solver_pre" localSheetId="5" hidden="1">0.000001</definedName>
    <definedName name="solver_rbv" localSheetId="4" hidden="1">2</definedName>
    <definedName name="solver_rbv" localSheetId="5" hidden="1">2</definedName>
    <definedName name="solver_rel1" localSheetId="4" hidden="1">2</definedName>
    <definedName name="solver_rel1" localSheetId="5" hidden="1">4</definedName>
    <definedName name="solver_rel2" localSheetId="4" hidden="1">3</definedName>
    <definedName name="solver_rel2" localSheetId="5" hidden="1">3</definedName>
    <definedName name="solver_rel3" localSheetId="4" hidden="1">1</definedName>
    <definedName name="solver_rel3" localSheetId="5" hidden="1">2</definedName>
    <definedName name="solver_rel4" localSheetId="4" hidden="1">1</definedName>
    <definedName name="solver_rel4" localSheetId="5" hidden="1">1</definedName>
    <definedName name="solver_rel5" localSheetId="4" hidden="1">1</definedName>
    <definedName name="solver_rel5" localSheetId="5" hidden="1">1</definedName>
    <definedName name="solver_rhs1" localSheetId="4" hidden="1">0</definedName>
    <definedName name="solver_rhs1" localSheetId="5" hidden="1">"integer"</definedName>
    <definedName name="solver_rhs2" localSheetId="4" hidden="1">'Q2'!$C$10:$F$10</definedName>
    <definedName name="solver_rhs2" localSheetId="5" hidden="1">'Q3'!#REF!</definedName>
    <definedName name="solver_rhs3" localSheetId="4" hidden="1">'Q2'!$G$25</definedName>
    <definedName name="solver_rhs3" localSheetId="5" hidden="1">'Q3'!#REF!</definedName>
    <definedName name="solver_rhs4" localSheetId="4" hidden="1">'Q2'!$H$6:$H$8</definedName>
    <definedName name="solver_rhs4" localSheetId="5" hidden="1">'Q3'!#REF!</definedName>
    <definedName name="solver_rhs5" localSheetId="4" hidden="1">'Q2'!#REF!</definedName>
    <definedName name="solver_rhs5" localSheetId="5" hidden="1">'Q3'!#REF!</definedName>
    <definedName name="solver_rlx" localSheetId="4" hidden="1">2</definedName>
    <definedName name="solver_rlx" localSheetId="5" hidden="1">2</definedName>
    <definedName name="solver_rsd" localSheetId="4" hidden="1">0</definedName>
    <definedName name="solver_rsd" localSheetId="5" hidden="1">0</definedName>
    <definedName name="solver_scl" localSheetId="4" hidden="1">2</definedName>
    <definedName name="solver_scl" localSheetId="5" hidden="1">2</definedName>
    <definedName name="solver_sho" localSheetId="4" hidden="1">2</definedName>
    <definedName name="solver_sho" localSheetId="5" hidden="1">2</definedName>
    <definedName name="solver_ssz" localSheetId="4" hidden="1">100</definedName>
    <definedName name="solver_ssz" localSheetId="5" hidden="1">100</definedName>
    <definedName name="solver_tim" localSheetId="4" hidden="1">2147483647</definedName>
    <definedName name="solver_tim" localSheetId="5" hidden="1">2147483647</definedName>
    <definedName name="solver_tol" localSheetId="4" hidden="1">0.01</definedName>
    <definedName name="solver_tol" localSheetId="5" hidden="1">0.01</definedName>
    <definedName name="solver_typ" localSheetId="4" hidden="1">2</definedName>
    <definedName name="solver_typ" localSheetId="5" hidden="1">1</definedName>
    <definedName name="solver_val" localSheetId="4" hidden="1">0</definedName>
    <definedName name="solver_val" localSheetId="5" hidden="1">0</definedName>
    <definedName name="solver_ver" localSheetId="4" hidden="1">3</definedName>
    <definedName name="solver_ver" localSheetId="5"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 i="8" l="1"/>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K22" i="8"/>
  <c r="J22" i="8"/>
  <c r="I22" i="8"/>
  <c r="H22" i="8"/>
  <c r="L22" i="8"/>
  <c r="G17" i="8"/>
  <c r="G18" i="8"/>
  <c r="G16" i="8"/>
  <c r="D19" i="8"/>
  <c r="E19" i="8"/>
  <c r="F19" i="8"/>
  <c r="C19" i="8"/>
  <c r="K1" i="19"/>
  <c r="K13" i="19"/>
  <c r="K12" i="19"/>
  <c r="K11" i="19"/>
  <c r="K10" i="19"/>
  <c r="K9" i="19"/>
  <c r="K8" i="19"/>
  <c r="K7" i="19"/>
  <c r="K6" i="19"/>
  <c r="K5" i="19"/>
  <c r="J4" i="19"/>
  <c r="E25" i="13"/>
  <c r="B15" i="13"/>
  <c r="G20" i="13"/>
  <c r="G19" i="13"/>
  <c r="G18" i="13"/>
  <c r="F21" i="13"/>
  <c r="E21" i="13"/>
  <c r="D21" i="13"/>
  <c r="C21" i="13"/>
  <c r="N21" i="8" l="1"/>
  <c r="N2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RaviShan.Mishra</author>
  </authors>
  <commentList>
    <comment ref="B5" authorId="0" shapeId="0" xr:uid="{918AA1F9-9FBB-4FF8-9721-5A34D91FF6DE}">
      <text>
        <r>
          <rPr>
            <sz val="9"/>
            <color indexed="81"/>
            <rFont val="Tahoma"/>
            <family val="2"/>
          </rPr>
          <t>Solver could not find a feasible solution.</t>
        </r>
      </text>
    </comment>
    <comment ref="B6" authorId="0" shapeId="0" xr:uid="{A24934EE-5120-4204-8A28-E19AF51A6646}">
      <text>
        <r>
          <rPr>
            <sz val="9"/>
            <color indexed="81"/>
            <rFont val="Tahoma"/>
            <family val="2"/>
          </rPr>
          <t>Solver found a solution. All constraints and optimality conditions are satisfied.</t>
        </r>
      </text>
    </comment>
    <comment ref="B7" authorId="0" shapeId="0" xr:uid="{7791CE62-C76F-42C3-96C9-210992A28548}">
      <text>
        <r>
          <rPr>
            <sz val="9"/>
            <color indexed="81"/>
            <rFont val="Tahoma"/>
            <family val="2"/>
          </rPr>
          <t>Solver found a solution. All constraints and optimality conditions are satisfied.</t>
        </r>
      </text>
    </comment>
    <comment ref="B8" authorId="0" shapeId="0" xr:uid="{408939FB-8FAD-48FF-81AA-81751C411CC2}">
      <text>
        <r>
          <rPr>
            <sz val="9"/>
            <color indexed="81"/>
            <rFont val="Tahoma"/>
            <family val="2"/>
          </rPr>
          <t>Solver found a solution. All constraints and optimality conditions are satisfied.</t>
        </r>
      </text>
    </comment>
    <comment ref="B9" authorId="0" shapeId="0" xr:uid="{DA0F66BC-7328-4A8B-AD18-EEABF1AF10FA}">
      <text>
        <r>
          <rPr>
            <sz val="9"/>
            <color indexed="81"/>
            <rFont val="Tahoma"/>
            <family val="2"/>
          </rPr>
          <t>Solver found a solution. All constraints and optimality conditions are satisfied.</t>
        </r>
      </text>
    </comment>
    <comment ref="B10" authorId="0" shapeId="0" xr:uid="{45ED8D14-599B-4696-80B1-3847FDD1CD27}">
      <text>
        <r>
          <rPr>
            <sz val="9"/>
            <color indexed="81"/>
            <rFont val="Tahoma"/>
            <family val="2"/>
          </rPr>
          <t>Solver found a solution. All constraints and optimality conditions are satisfied.</t>
        </r>
      </text>
    </comment>
    <comment ref="B11" authorId="0" shapeId="0" xr:uid="{C2C17ED6-3AC4-4EB3-8C2E-2168649AD9B9}">
      <text>
        <r>
          <rPr>
            <sz val="9"/>
            <color indexed="81"/>
            <rFont val="Tahoma"/>
            <family val="2"/>
          </rPr>
          <t>Solver found a solution. All constraints and optimality conditions are satisfied.</t>
        </r>
      </text>
    </comment>
    <comment ref="B12" authorId="0" shapeId="0" xr:uid="{F7E76952-3D69-4822-82A2-BECD62E6D816}">
      <text>
        <r>
          <rPr>
            <sz val="9"/>
            <color indexed="81"/>
            <rFont val="Tahoma"/>
            <family val="2"/>
          </rPr>
          <t>Solver found a solution. All constraints and optimality conditions are satisfied.</t>
        </r>
      </text>
    </comment>
    <comment ref="B13" authorId="0" shapeId="0" xr:uid="{1F9133C7-695F-4F10-B7C5-0FE87B9B8424}">
      <text>
        <r>
          <rPr>
            <sz val="9"/>
            <color indexed="81"/>
            <rFont val="Tahoma"/>
            <family val="2"/>
          </rPr>
          <t>Solver found a solution. All constraints and optimality conditions are satisfied.</t>
        </r>
      </text>
    </comment>
  </commentList>
</comments>
</file>

<file path=xl/sharedStrings.xml><?xml version="1.0" encoding="utf-8"?>
<sst xmlns="http://schemas.openxmlformats.org/spreadsheetml/2006/main" count="141" uniqueCount="84">
  <si>
    <t>House</t>
  </si>
  <si>
    <t>Appraised Value</t>
  </si>
  <si>
    <t>Selling Price</t>
  </si>
  <si>
    <t>Square Feet</t>
  </si>
  <si>
    <t>Bedrooms</t>
  </si>
  <si>
    <t>Bathrooms</t>
  </si>
  <si>
    <t>To</t>
  </si>
  <si>
    <t>From</t>
  </si>
  <si>
    <t>Plant 1</t>
  </si>
  <si>
    <t>Plant 2</t>
  </si>
  <si>
    <t>Plant 3</t>
  </si>
  <si>
    <t>DC 1</t>
  </si>
  <si>
    <t>DC 2</t>
  </si>
  <si>
    <t>DC 3</t>
  </si>
  <si>
    <t>DC 4</t>
  </si>
  <si>
    <t>Supply (tons)</t>
  </si>
  <si>
    <t>Demand (tons)</t>
  </si>
  <si>
    <t>Shipping cost per ton (in $)</t>
  </si>
  <si>
    <t>No shipments from Plant 3 to DC 1</t>
  </si>
  <si>
    <t xml:space="preserve">Total from Plant 1 and Plant 2 to DC 4 at most 90 tons. </t>
  </si>
  <si>
    <t>$E$26</t>
  </si>
  <si>
    <t>$B$16</t>
  </si>
  <si>
    <t>Rail Transport Weight Limit</t>
  </si>
  <si>
    <t>Demand Mean (tons)</t>
  </si>
  <si>
    <t>Demand Stanndard Deviation (tons)</t>
  </si>
  <si>
    <t>Holding cost for surplus</t>
  </si>
  <si>
    <t>Penalty cost for stockout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</si>
  <si>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</si>
  <si>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</si>
  <si>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</si>
  <si>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</si>
  <si>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</si>
  <si>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</si>
  <si>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</si>
  <si>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</si>
  <si>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</si>
  <si>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</si>
  <si>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</si>
  <si>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</si>
  <si>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</si>
  <si>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</si>
  <si>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</si>
  <si>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</si>
  <si>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</si>
  <si>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</si>
  <si>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</si>
  <si>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</si>
  <si>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</si>
  <si>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</si>
  <si>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</si>
  <si>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</si>
  <si>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</si>
  <si>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X Variable 2</t>
  </si>
  <si>
    <t>RESIDUAL OUTPUT</t>
  </si>
  <si>
    <t>Observation</t>
  </si>
  <si>
    <t>Predicted Y</t>
  </si>
  <si>
    <t>Residuals</t>
  </si>
  <si>
    <t>PROBABILITY OUTPUT</t>
  </si>
  <si>
    <t>Percentile</t>
  </si>
  <si>
    <t>Y</t>
  </si>
  <si>
    <t>amount</t>
  </si>
  <si>
    <t>sum of shipment from 1 and 2 distribution centre 4</t>
  </si>
  <si>
    <t>&lt;=</t>
  </si>
  <si>
    <t>$G$25</t>
  </si>
  <si>
    <t>$B$15</t>
  </si>
  <si>
    <t>rail transportation</t>
  </si>
  <si>
    <t>One-way analysis for Solver model in Q2 (2) worksheet</t>
  </si>
  <si>
    <t>Data for chart</t>
  </si>
  <si>
    <t>Not feasible</t>
  </si>
  <si>
    <r>
      <t xml:space="preserve">
</t>
    </r>
    <r>
      <rPr>
        <b/>
        <sz val="11"/>
        <color theme="1"/>
        <rFont val="Calibri"/>
        <family val="2"/>
        <scheme val="minor"/>
      </rPr>
      <t>conclusion</t>
    </r>
    <r>
      <rPr>
        <sz val="11"/>
        <color theme="1"/>
        <rFont val="Calibri"/>
        <family val="2"/>
        <scheme val="minor"/>
      </rPr>
      <t xml:space="preserve">
The regression results show that both Square Feet and Appraised Value have p-values less than 5%, meaning they are statistically significant predictors of selling price. This indicates that selling prices do vary systematically with house size and appraised value. In addition the key regression assumptions linearity, independence and constant variance are not grossly violated. Therefore, the regression model is appropriate, and its results can be considered reliable.</t>
    </r>
  </si>
  <si>
    <t>Demand 1</t>
  </si>
  <si>
    <t>demand 2</t>
  </si>
  <si>
    <t>demand 3</t>
  </si>
  <si>
    <t>demand 4</t>
  </si>
  <si>
    <t>total additional</t>
  </si>
  <si>
    <t xml:space="preserve">MEAN </t>
  </si>
  <si>
    <t>STANDARD DEVITON</t>
  </si>
  <si>
    <t>SHORTAGE AND SURPLUS DC1</t>
  </si>
  <si>
    <t>SHORTAGE AND SURPLUS DC2</t>
  </si>
  <si>
    <t>SHORTAGE AND SURPLUS DC3</t>
  </si>
  <si>
    <t>SHORTAGE AND SURPLUS DC4</t>
  </si>
  <si>
    <t>Rail transportation (cell $G$25) values along side, output cell(s) along top</t>
  </si>
  <si>
    <t>Objective total of transportation</t>
  </si>
  <si>
    <t xml:space="preserve">Demand satisfy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</si>
</sst>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quot;$&quot;#,##0\)"/>
    <numFmt numFmtId="165" formatCode="&quot;$&quot;#,##0.00_);\(&quot;$&quot;#,##0.00\)"/>
    <numFmt numFmtId="166" formatCode="_(&quot;$&quot;* #,##0.00_);_(&quot;$&quot;* \(#,##0.00\);_(&quot;$&quot;* &quot;-&quot;??_);_(@_)"/>
    <numFmt numFmtId="167" formatCode="#,##0;[Red]#,##0"/>
  </numFmts>
  <fonts count="11" x14ac:knownFonts="1">
    <font>
      <sz val="11"/>
      <color theme="1"/>
      <name val="Calibri"/>
      <family val="2"/>
      <scheme val="minor"/>
    </font>
    <font>
      <sz val="10"/>
      <name val="Arial"/>
      <family val="2"/>
    </font>
    <font>
      <b/>
      <sz val="11"/>
      <name val="Calibri"/>
      <family val="2"/>
    </font>
    <font>
      <sz val="11"/>
      <name val="Calibri"/>
      <family val="2"/>
    </font>
    <font>
      <b/>
      <sz val="11"/>
      <name val="Calibri"/>
      <family val="2"/>
      <scheme val="minor"/>
    </font>
    <font>
      <sz val="1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
      <sz val="11"/>
      <color rgb="FFFFFFFF"/>
      <name val="Calibri"/>
      <family val="2"/>
      <scheme val="minor"/>
    </font>
    <font>
      <sz val="9"/>
      <color indexed="81"/>
      <name val="Tahoma"/>
      <family val="2"/>
    </font>
  </fonts>
  <fills count="10">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5"/>
        <bgColor indexed="64"/>
      </patternFill>
    </fill>
    <fill>
      <patternFill patternType="solid">
        <fgColor rgb="FFFF0000"/>
        <bgColor indexed="64"/>
      </patternFill>
    </fill>
    <fill>
      <patternFill patternType="solid">
        <fgColor theme="9" tint="0.59999389629810485"/>
        <bgColor indexed="64"/>
      </patternFill>
    </fill>
    <fill>
      <patternFill patternType="solid">
        <fgColor indexed="47"/>
        <bgColor indexed="64"/>
      </patternFill>
    </fill>
    <fill>
      <patternFill patternType="solid">
        <fgColor theme="4" tint="-0.249977111117893"/>
        <bgColor indexed="64"/>
      </patternFill>
    </fill>
    <fill>
      <patternFill patternType="solid">
        <fgColor theme="4" tint="0.79998168889431442"/>
        <bgColor indexed="64"/>
      </patternFill>
    </fill>
  </fills>
  <borders count="6">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166" fontId="7" fillId="0" borderId="0" applyFont="0" applyFill="0" applyBorder="0" applyAlignment="0" applyProtection="0"/>
  </cellStyleXfs>
  <cellXfs count="44">
    <xf numFmtId="0" fontId="0" fillId="0" borderId="0" xfId="0"/>
    <xf numFmtId="0" fontId="2" fillId="0" borderId="0" xfId="1" applyFont="1" applyAlignment="1">
      <alignment horizontal="center"/>
    </xf>
    <xf numFmtId="0" fontId="2" fillId="0" borderId="0" xfId="1" applyFont="1" applyAlignment="1">
      <alignment horizontal="right"/>
    </xf>
    <xf numFmtId="0" fontId="3" fillId="0" borderId="0" xfId="1" applyFont="1" applyAlignment="1">
      <alignment horizontal="center"/>
    </xf>
    <xf numFmtId="167" fontId="3" fillId="0" borderId="0" xfId="1" applyNumberFormat="1" applyFont="1"/>
    <xf numFmtId="1" fontId="3" fillId="0" borderId="0" xfId="1" applyNumberFormat="1" applyFont="1"/>
    <xf numFmtId="0" fontId="3" fillId="0" borderId="0" xfId="1" applyFont="1"/>
    <xf numFmtId="0" fontId="4" fillId="0" borderId="0" xfId="1" applyFont="1"/>
    <xf numFmtId="0" fontId="5" fillId="0" borderId="0" xfId="1" applyFont="1"/>
    <xf numFmtId="0" fontId="5" fillId="0" borderId="0" xfId="1" applyFont="1" applyAlignment="1">
      <alignment horizontal="left"/>
    </xf>
    <xf numFmtId="0" fontId="5" fillId="0" borderId="0" xfId="1" applyFont="1" applyAlignment="1">
      <alignment horizontal="centerContinuous"/>
    </xf>
    <xf numFmtId="0" fontId="5" fillId="0" borderId="0" xfId="1" applyFont="1" applyAlignment="1">
      <alignment horizontal="right"/>
    </xf>
    <xf numFmtId="164" fontId="5" fillId="2" borderId="0" xfId="1" applyNumberFormat="1" applyFont="1" applyFill="1"/>
    <xf numFmtId="0" fontId="5" fillId="2" borderId="0" xfId="1" applyFont="1" applyFill="1"/>
    <xf numFmtId="0" fontId="0" fillId="0" borderId="0" xfId="0" applyAlignment="1">
      <alignment vertical="center" wrapText="1"/>
    </xf>
    <xf numFmtId="0" fontId="6" fillId="0" borderId="0" xfId="0" applyFont="1" applyAlignment="1">
      <alignment vertical="center" wrapText="1"/>
    </xf>
    <xf numFmtId="49" fontId="0" fillId="0" borderId="0" xfId="0" applyNumberFormat="1"/>
    <xf numFmtId="0" fontId="0" fillId="0" borderId="1" xfId="0" applyBorder="1"/>
    <xf numFmtId="0" fontId="8" fillId="0" borderId="2" xfId="0" applyFont="1" applyBorder="1" applyAlignment="1">
      <alignment horizontal="center"/>
    </xf>
    <xf numFmtId="0" fontId="8" fillId="0" borderId="2" xfId="0" applyFont="1" applyBorder="1" applyAlignment="1">
      <alignment horizontal="centerContinuous"/>
    </xf>
    <xf numFmtId="0" fontId="0" fillId="3" borderId="0" xfId="0" applyFill="1"/>
    <xf numFmtId="0" fontId="0" fillId="3" borderId="1" xfId="0" applyFill="1" applyBorder="1"/>
    <xf numFmtId="164" fontId="0" fillId="0" borderId="0" xfId="0" applyNumberFormat="1"/>
    <xf numFmtId="164" fontId="5" fillId="4" borderId="0" xfId="1" applyNumberFormat="1" applyFont="1" applyFill="1"/>
    <xf numFmtId="164" fontId="7" fillId="5" borderId="0" xfId="1" applyNumberFormat="1" applyFont="1" applyFill="1"/>
    <xf numFmtId="0" fontId="6" fillId="0" borderId="0" xfId="0" applyFont="1"/>
    <xf numFmtId="0" fontId="0" fillId="0" borderId="0" xfId="0" applyAlignment="1">
      <alignment horizontal="right" textRotation="90"/>
    </xf>
    <xf numFmtId="0" fontId="0" fillId="6" borderId="0" xfId="0" applyFill="1" applyAlignment="1">
      <alignment horizontal="right" textRotation="90"/>
    </xf>
    <xf numFmtId="0" fontId="9" fillId="0" borderId="0" xfId="0" applyFont="1"/>
    <xf numFmtId="166" fontId="0" fillId="0" borderId="4" xfId="0" applyNumberFormat="1" applyBorder="1"/>
    <xf numFmtId="166" fontId="0" fillId="0" borderId="5" xfId="0" applyNumberFormat="1" applyBorder="1"/>
    <xf numFmtId="0" fontId="0" fillId="7" borderId="3" xfId="0" applyFill="1" applyBorder="1"/>
    <xf numFmtId="0" fontId="0" fillId="0" borderId="0" xfId="0" applyAlignment="1">
      <alignment wrapText="1"/>
    </xf>
    <xf numFmtId="165" fontId="0" fillId="0" borderId="0" xfId="0" applyNumberFormat="1"/>
    <xf numFmtId="0" fontId="0" fillId="0" borderId="0" xfId="0" applyAlignment="1">
      <alignment horizontal="center" wrapText="1"/>
    </xf>
    <xf numFmtId="0" fontId="5" fillId="8" borderId="0" xfId="1" applyFont="1" applyFill="1"/>
    <xf numFmtId="0" fontId="5" fillId="8" borderId="0" xfId="1" applyFont="1" applyFill="1" applyAlignment="1">
      <alignment horizontal="centerContinuous"/>
    </xf>
    <xf numFmtId="0" fontId="5" fillId="8" borderId="0" xfId="1" applyFont="1" applyFill="1" applyAlignment="1">
      <alignment horizontal="right"/>
    </xf>
    <xf numFmtId="0" fontId="0" fillId="9" borderId="0" xfId="0" applyFill="1"/>
    <xf numFmtId="166" fontId="0" fillId="9" borderId="0" xfId="2" applyFont="1" applyFill="1"/>
    <xf numFmtId="0" fontId="5" fillId="9" borderId="0" xfId="1" applyFont="1" applyFill="1"/>
    <xf numFmtId="164" fontId="0" fillId="9" borderId="0" xfId="0" applyNumberFormat="1" applyFill="1"/>
    <xf numFmtId="0" fontId="4" fillId="9" borderId="0" xfId="1" applyFont="1" applyFill="1"/>
    <xf numFmtId="0" fontId="5" fillId="9" borderId="0" xfId="1" applyFont="1" applyFill="1" applyAlignment="1">
      <alignment horizontal="left"/>
    </xf>
  </cellXfs>
  <cellStyles count="3">
    <cellStyle name="Currency" xfId="2" builtinId="4"/>
    <cellStyle name="Normal" xfId="0" builtinId="0"/>
    <cellStyle name="Normal 2" xfId="1" xr:uid="{C3EC404B-0E8E-4A02-8396-C7DD63F2DD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Selling Price vs Appraised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'Q1'!$B$2:$B$149</c:f>
              <c:numCache>
                <c:formatCode>#,##0;[Red]#,##0</c:formatCode>
                <c:ptCount val="148"/>
                <c:pt idx="0">
                  <c:v>121870</c:v>
                </c:pt>
                <c:pt idx="1">
                  <c:v>150250</c:v>
                </c:pt>
                <c:pt idx="2">
                  <c:v>122780</c:v>
                </c:pt>
                <c:pt idx="3">
                  <c:v>144350</c:v>
                </c:pt>
                <c:pt idx="4">
                  <c:v>116200</c:v>
                </c:pt>
                <c:pt idx="5">
                  <c:v>139490</c:v>
                </c:pt>
                <c:pt idx="6">
                  <c:v>115730</c:v>
                </c:pt>
                <c:pt idx="7">
                  <c:v>140590</c:v>
                </c:pt>
                <c:pt idx="8">
                  <c:v>120290</c:v>
                </c:pt>
                <c:pt idx="9">
                  <c:v>147250</c:v>
                </c:pt>
                <c:pt idx="10">
                  <c:v>152260</c:v>
                </c:pt>
                <c:pt idx="11">
                  <c:v>144800</c:v>
                </c:pt>
                <c:pt idx="12">
                  <c:v>107060</c:v>
                </c:pt>
                <c:pt idx="13">
                  <c:v>147470</c:v>
                </c:pt>
                <c:pt idx="14">
                  <c:v>135120</c:v>
                </c:pt>
                <c:pt idx="15">
                  <c:v>140240</c:v>
                </c:pt>
                <c:pt idx="16">
                  <c:v>129889.99999999999</c:v>
                </c:pt>
                <c:pt idx="17">
                  <c:v>121140</c:v>
                </c:pt>
                <c:pt idx="18">
                  <c:v>111230</c:v>
                </c:pt>
                <c:pt idx="19">
                  <c:v>145140</c:v>
                </c:pt>
                <c:pt idx="20">
                  <c:v>139010</c:v>
                </c:pt>
                <c:pt idx="21">
                  <c:v>129340</c:v>
                </c:pt>
                <c:pt idx="22">
                  <c:v>113610</c:v>
                </c:pt>
                <c:pt idx="23">
                  <c:v>141050</c:v>
                </c:pt>
                <c:pt idx="24">
                  <c:v>152900</c:v>
                </c:pt>
                <c:pt idx="25">
                  <c:v>157790</c:v>
                </c:pt>
                <c:pt idx="26">
                  <c:v>135570</c:v>
                </c:pt>
                <c:pt idx="27">
                  <c:v>151990</c:v>
                </c:pt>
                <c:pt idx="28">
                  <c:v>120530</c:v>
                </c:pt>
                <c:pt idx="29">
                  <c:v>118640</c:v>
                </c:pt>
                <c:pt idx="30">
                  <c:v>149510</c:v>
                </c:pt>
                <c:pt idx="31">
                  <c:v>146860</c:v>
                </c:pt>
                <c:pt idx="32">
                  <c:v>143880</c:v>
                </c:pt>
                <c:pt idx="33">
                  <c:v>118520</c:v>
                </c:pt>
                <c:pt idx="34">
                  <c:v>146070</c:v>
                </c:pt>
                <c:pt idx="35">
                  <c:v>135350</c:v>
                </c:pt>
                <c:pt idx="36">
                  <c:v>121540</c:v>
                </c:pt>
                <c:pt idx="37">
                  <c:v>132980</c:v>
                </c:pt>
                <c:pt idx="38">
                  <c:v>147530</c:v>
                </c:pt>
                <c:pt idx="39">
                  <c:v>128490.00000000001</c:v>
                </c:pt>
                <c:pt idx="40">
                  <c:v>141930</c:v>
                </c:pt>
                <c:pt idx="41">
                  <c:v>123550</c:v>
                </c:pt>
                <c:pt idx="42">
                  <c:v>162030</c:v>
                </c:pt>
                <c:pt idx="43">
                  <c:v>157390</c:v>
                </c:pt>
                <c:pt idx="44">
                  <c:v>114550</c:v>
                </c:pt>
                <c:pt idx="45">
                  <c:v>139540</c:v>
                </c:pt>
                <c:pt idx="46">
                  <c:v>149920</c:v>
                </c:pt>
                <c:pt idx="47">
                  <c:v>122080</c:v>
                </c:pt>
                <c:pt idx="48">
                  <c:v>136510</c:v>
                </c:pt>
                <c:pt idx="49">
                  <c:v>109410</c:v>
                </c:pt>
                <c:pt idx="50">
                  <c:v>127290</c:v>
                </c:pt>
                <c:pt idx="51">
                  <c:v>120450</c:v>
                </c:pt>
                <c:pt idx="52">
                  <c:v>151960</c:v>
                </c:pt>
                <c:pt idx="53">
                  <c:v>132540</c:v>
                </c:pt>
                <c:pt idx="54">
                  <c:v>114330</c:v>
                </c:pt>
                <c:pt idx="55">
                  <c:v>141320</c:v>
                </c:pt>
                <c:pt idx="56">
                  <c:v>83760</c:v>
                </c:pt>
                <c:pt idx="57">
                  <c:v>118200</c:v>
                </c:pt>
                <c:pt idx="58">
                  <c:v>140200</c:v>
                </c:pt>
                <c:pt idx="59">
                  <c:v>113550</c:v>
                </c:pt>
                <c:pt idx="60">
                  <c:v>156520</c:v>
                </c:pt>
                <c:pt idx="61">
                  <c:v>137350</c:v>
                </c:pt>
                <c:pt idx="62">
                  <c:v>110610</c:v>
                </c:pt>
                <c:pt idx="63">
                  <c:v>153690</c:v>
                </c:pt>
                <c:pt idx="64">
                  <c:v>153330</c:v>
                </c:pt>
                <c:pt idx="65">
                  <c:v>111950</c:v>
                </c:pt>
                <c:pt idx="66">
                  <c:v>143460</c:v>
                </c:pt>
                <c:pt idx="67">
                  <c:v>142130</c:v>
                </c:pt>
                <c:pt idx="68">
                  <c:v>155460</c:v>
                </c:pt>
                <c:pt idx="69">
                  <c:v>135440</c:v>
                </c:pt>
                <c:pt idx="70">
                  <c:v>127300</c:v>
                </c:pt>
                <c:pt idx="71">
                  <c:v>113770</c:v>
                </c:pt>
                <c:pt idx="72">
                  <c:v>141110</c:v>
                </c:pt>
                <c:pt idx="73">
                  <c:v>130080.00000000001</c:v>
                </c:pt>
                <c:pt idx="74">
                  <c:v>139350</c:v>
                </c:pt>
                <c:pt idx="75">
                  <c:v>160030</c:v>
                </c:pt>
                <c:pt idx="76">
                  <c:v>152840</c:v>
                </c:pt>
                <c:pt idx="77">
                  <c:v>122270</c:v>
                </c:pt>
                <c:pt idx="78">
                  <c:v>145880</c:v>
                </c:pt>
                <c:pt idx="79">
                  <c:v>115470</c:v>
                </c:pt>
                <c:pt idx="80">
                  <c:v>135720</c:v>
                </c:pt>
                <c:pt idx="81">
                  <c:v>136160</c:v>
                </c:pt>
                <c:pt idx="82">
                  <c:v>144920</c:v>
                </c:pt>
                <c:pt idx="83">
                  <c:v>131290</c:v>
                </c:pt>
                <c:pt idx="84">
                  <c:v>138530</c:v>
                </c:pt>
                <c:pt idx="85">
                  <c:v>124050</c:v>
                </c:pt>
                <c:pt idx="86">
                  <c:v>107900</c:v>
                </c:pt>
                <c:pt idx="87">
                  <c:v>123450</c:v>
                </c:pt>
                <c:pt idx="88">
                  <c:v>111700</c:v>
                </c:pt>
                <c:pt idx="89">
                  <c:v>145140</c:v>
                </c:pt>
                <c:pt idx="90">
                  <c:v>120440</c:v>
                </c:pt>
                <c:pt idx="91">
                  <c:v>136870</c:v>
                </c:pt>
                <c:pt idx="92">
                  <c:v>140300</c:v>
                </c:pt>
                <c:pt idx="93">
                  <c:v>113780</c:v>
                </c:pt>
                <c:pt idx="94">
                  <c:v>141230</c:v>
                </c:pt>
                <c:pt idx="95">
                  <c:v>104830</c:v>
                </c:pt>
                <c:pt idx="96">
                  <c:v>118790</c:v>
                </c:pt>
                <c:pt idx="97">
                  <c:v>112040</c:v>
                </c:pt>
                <c:pt idx="98">
                  <c:v>137270</c:v>
                </c:pt>
                <c:pt idx="99">
                  <c:v>145710</c:v>
                </c:pt>
                <c:pt idx="100">
                  <c:v>138380</c:v>
                </c:pt>
                <c:pt idx="101">
                  <c:v>109460</c:v>
                </c:pt>
                <c:pt idx="102">
                  <c:v>144680</c:v>
                </c:pt>
                <c:pt idx="103">
                  <c:v>133270</c:v>
                </c:pt>
                <c:pt idx="104">
                  <c:v>133270</c:v>
                </c:pt>
                <c:pt idx="105">
                  <c:v>150380</c:v>
                </c:pt>
                <c:pt idx="106">
                  <c:v>135260</c:v>
                </c:pt>
                <c:pt idx="107">
                  <c:v>112600</c:v>
                </c:pt>
                <c:pt idx="108">
                  <c:v>114230</c:v>
                </c:pt>
                <c:pt idx="109">
                  <c:v>153240</c:v>
                </c:pt>
                <c:pt idx="110">
                  <c:v>125890</c:v>
                </c:pt>
                <c:pt idx="111">
                  <c:v>135620</c:v>
                </c:pt>
                <c:pt idx="112">
                  <c:v>138820</c:v>
                </c:pt>
                <c:pt idx="113">
                  <c:v>129430</c:v>
                </c:pt>
                <c:pt idx="114">
                  <c:v>136450</c:v>
                </c:pt>
                <c:pt idx="115">
                  <c:v>126740</c:v>
                </c:pt>
                <c:pt idx="116">
                  <c:v>130090</c:v>
                </c:pt>
                <c:pt idx="117">
                  <c:v>132680</c:v>
                </c:pt>
                <c:pt idx="118">
                  <c:v>142890</c:v>
                </c:pt>
                <c:pt idx="119">
                  <c:v>127040</c:v>
                </c:pt>
                <c:pt idx="120">
                  <c:v>131450</c:v>
                </c:pt>
                <c:pt idx="121">
                  <c:v>114570</c:v>
                </c:pt>
                <c:pt idx="122">
                  <c:v>129560</c:v>
                </c:pt>
                <c:pt idx="123">
                  <c:v>149550</c:v>
                </c:pt>
                <c:pt idx="124">
                  <c:v>140820</c:v>
                </c:pt>
                <c:pt idx="125">
                  <c:v>111550</c:v>
                </c:pt>
                <c:pt idx="126">
                  <c:v>142760</c:v>
                </c:pt>
                <c:pt idx="127">
                  <c:v>124250</c:v>
                </c:pt>
                <c:pt idx="128">
                  <c:v>132320</c:v>
                </c:pt>
                <c:pt idx="129">
                  <c:v>121450</c:v>
                </c:pt>
                <c:pt idx="130">
                  <c:v>132450</c:v>
                </c:pt>
                <c:pt idx="131">
                  <c:v>135830</c:v>
                </c:pt>
                <c:pt idx="132">
                  <c:v>125760</c:v>
                </c:pt>
                <c:pt idx="133">
                  <c:v>125840</c:v>
                </c:pt>
                <c:pt idx="134">
                  <c:v>135320</c:v>
                </c:pt>
                <c:pt idx="135">
                  <c:v>120140</c:v>
                </c:pt>
                <c:pt idx="136">
                  <c:v>147530</c:v>
                </c:pt>
                <c:pt idx="137">
                  <c:v>144940</c:v>
                </c:pt>
                <c:pt idx="138">
                  <c:v>136010</c:v>
                </c:pt>
                <c:pt idx="139">
                  <c:v>119330</c:v>
                </c:pt>
                <c:pt idx="140">
                  <c:v>131150</c:v>
                </c:pt>
                <c:pt idx="141">
                  <c:v>172360</c:v>
                </c:pt>
                <c:pt idx="142">
                  <c:v>137170</c:v>
                </c:pt>
                <c:pt idx="143">
                  <c:v>124710</c:v>
                </c:pt>
                <c:pt idx="144">
                  <c:v>148650</c:v>
                </c:pt>
                <c:pt idx="145">
                  <c:v>128520.00000000001</c:v>
                </c:pt>
                <c:pt idx="146">
                  <c:v>132020</c:v>
                </c:pt>
                <c:pt idx="147">
                  <c:v>128030</c:v>
                </c:pt>
              </c:numCache>
            </c:numRef>
          </c:xVal>
          <c:yVal>
            <c:numRef>
              <c:f>'Q1'!$C$2:$C$149</c:f>
              <c:numCache>
                <c:formatCode>#,##0;[Red]#,##0</c:formatCode>
                <c:ptCount val="148"/>
                <c:pt idx="0">
                  <c:v>119370</c:v>
                </c:pt>
                <c:pt idx="1">
                  <c:v>148930</c:v>
                </c:pt>
                <c:pt idx="2">
                  <c:v>130389.99999999999</c:v>
                </c:pt>
                <c:pt idx="3">
                  <c:v>135700</c:v>
                </c:pt>
                <c:pt idx="4">
                  <c:v>126300</c:v>
                </c:pt>
                <c:pt idx="5">
                  <c:v>137080</c:v>
                </c:pt>
                <c:pt idx="6">
                  <c:v>123490</c:v>
                </c:pt>
                <c:pt idx="7">
                  <c:v>150830</c:v>
                </c:pt>
                <c:pt idx="8">
                  <c:v>123480</c:v>
                </c:pt>
                <c:pt idx="9">
                  <c:v>132050</c:v>
                </c:pt>
                <c:pt idx="10">
                  <c:v>148210</c:v>
                </c:pt>
                <c:pt idx="11">
                  <c:v>139530</c:v>
                </c:pt>
                <c:pt idx="12">
                  <c:v>114340</c:v>
                </c:pt>
                <c:pt idx="13">
                  <c:v>140040</c:v>
                </c:pt>
                <c:pt idx="14">
                  <c:v>136010</c:v>
                </c:pt>
                <c:pt idx="15">
                  <c:v>140930</c:v>
                </c:pt>
                <c:pt idx="16">
                  <c:v>132420</c:v>
                </c:pt>
                <c:pt idx="17">
                  <c:v>118300</c:v>
                </c:pt>
                <c:pt idx="18">
                  <c:v>122140</c:v>
                </c:pt>
                <c:pt idx="19">
                  <c:v>149820</c:v>
                </c:pt>
                <c:pt idx="20">
                  <c:v>128910</c:v>
                </c:pt>
                <c:pt idx="21">
                  <c:v>134610</c:v>
                </c:pt>
                <c:pt idx="22">
                  <c:v>121990</c:v>
                </c:pt>
                <c:pt idx="23">
                  <c:v>150500</c:v>
                </c:pt>
                <c:pt idx="24">
                  <c:v>142870</c:v>
                </c:pt>
                <c:pt idx="25">
                  <c:v>155550</c:v>
                </c:pt>
                <c:pt idx="26">
                  <c:v>128500</c:v>
                </c:pt>
                <c:pt idx="27">
                  <c:v>143360</c:v>
                </c:pt>
                <c:pt idx="28">
                  <c:v>119650</c:v>
                </c:pt>
                <c:pt idx="29">
                  <c:v>122570</c:v>
                </c:pt>
                <c:pt idx="30">
                  <c:v>145270</c:v>
                </c:pt>
                <c:pt idx="31">
                  <c:v>149730</c:v>
                </c:pt>
                <c:pt idx="32">
                  <c:v>147700</c:v>
                </c:pt>
                <c:pt idx="33">
                  <c:v>117530</c:v>
                </c:pt>
                <c:pt idx="34">
                  <c:v>140130</c:v>
                </c:pt>
                <c:pt idx="35">
                  <c:v>136570</c:v>
                </c:pt>
                <c:pt idx="36">
                  <c:v>130440</c:v>
                </c:pt>
                <c:pt idx="37">
                  <c:v>118130</c:v>
                </c:pt>
                <c:pt idx="38">
                  <c:v>130979.99999999999</c:v>
                </c:pt>
                <c:pt idx="39">
                  <c:v>131330</c:v>
                </c:pt>
                <c:pt idx="40">
                  <c:v>141100</c:v>
                </c:pt>
                <c:pt idx="41">
                  <c:v>117870</c:v>
                </c:pt>
                <c:pt idx="42">
                  <c:v>160580</c:v>
                </c:pt>
                <c:pt idx="43">
                  <c:v>151100</c:v>
                </c:pt>
                <c:pt idx="44">
                  <c:v>120150</c:v>
                </c:pt>
                <c:pt idx="45">
                  <c:v>133170</c:v>
                </c:pt>
                <c:pt idx="46">
                  <c:v>140160</c:v>
                </c:pt>
                <c:pt idx="47">
                  <c:v>124560</c:v>
                </c:pt>
                <c:pt idx="48">
                  <c:v>127970</c:v>
                </c:pt>
                <c:pt idx="49">
                  <c:v>101930</c:v>
                </c:pt>
                <c:pt idx="50">
                  <c:v>131470</c:v>
                </c:pt>
                <c:pt idx="51">
                  <c:v>121270</c:v>
                </c:pt>
                <c:pt idx="52">
                  <c:v>143550</c:v>
                </c:pt>
                <c:pt idx="53">
                  <c:v>136890</c:v>
                </c:pt>
                <c:pt idx="54">
                  <c:v>106110</c:v>
                </c:pt>
                <c:pt idx="55">
                  <c:v>137540</c:v>
                </c:pt>
                <c:pt idx="56">
                  <c:v>134330</c:v>
                </c:pt>
                <c:pt idx="57">
                  <c:v>127590</c:v>
                </c:pt>
                <c:pt idx="58">
                  <c:v>137440</c:v>
                </c:pt>
                <c:pt idx="59">
                  <c:v>114090</c:v>
                </c:pt>
                <c:pt idx="60">
                  <c:v>145460</c:v>
                </c:pt>
                <c:pt idx="61">
                  <c:v>141900</c:v>
                </c:pt>
                <c:pt idx="62">
                  <c:v>116340</c:v>
                </c:pt>
                <c:pt idx="63">
                  <c:v>149200</c:v>
                </c:pt>
                <c:pt idx="64">
                  <c:v>141810</c:v>
                </c:pt>
                <c:pt idx="65">
                  <c:v>116440</c:v>
                </c:pt>
                <c:pt idx="66">
                  <c:v>137740</c:v>
                </c:pt>
                <c:pt idx="67">
                  <c:v>144700</c:v>
                </c:pt>
                <c:pt idx="68">
                  <c:v>149660</c:v>
                </c:pt>
                <c:pt idx="69">
                  <c:v>118170</c:v>
                </c:pt>
                <c:pt idx="70">
                  <c:v>137660</c:v>
                </c:pt>
                <c:pt idx="71">
                  <c:v>119700</c:v>
                </c:pt>
                <c:pt idx="72">
                  <c:v>143120</c:v>
                </c:pt>
                <c:pt idx="73">
                  <c:v>129910</c:v>
                </c:pt>
                <c:pt idx="74">
                  <c:v>141780</c:v>
                </c:pt>
                <c:pt idx="75">
                  <c:v>159190</c:v>
                </c:pt>
                <c:pt idx="76">
                  <c:v>156130</c:v>
                </c:pt>
                <c:pt idx="77">
                  <c:v>126720</c:v>
                </c:pt>
                <c:pt idx="78">
                  <c:v>133220</c:v>
                </c:pt>
                <c:pt idx="79">
                  <c:v>118090</c:v>
                </c:pt>
                <c:pt idx="80">
                  <c:v>141630</c:v>
                </c:pt>
                <c:pt idx="81">
                  <c:v>138560</c:v>
                </c:pt>
                <c:pt idx="82">
                  <c:v>134100</c:v>
                </c:pt>
                <c:pt idx="83">
                  <c:v>132240</c:v>
                </c:pt>
                <c:pt idx="84">
                  <c:v>145820</c:v>
                </c:pt>
                <c:pt idx="85">
                  <c:v>127150</c:v>
                </c:pt>
                <c:pt idx="86">
                  <c:v>105070</c:v>
                </c:pt>
                <c:pt idx="87">
                  <c:v>127200</c:v>
                </c:pt>
                <c:pt idx="88">
                  <c:v>111560</c:v>
                </c:pt>
                <c:pt idx="89">
                  <c:v>150410</c:v>
                </c:pt>
                <c:pt idx="90">
                  <c:v>129150</c:v>
                </c:pt>
                <c:pt idx="91">
                  <c:v>130310</c:v>
                </c:pt>
                <c:pt idx="92">
                  <c:v>129229.99999999999</c:v>
                </c:pt>
                <c:pt idx="93">
                  <c:v>105060</c:v>
                </c:pt>
                <c:pt idx="94">
                  <c:v>134210</c:v>
                </c:pt>
                <c:pt idx="95">
                  <c:v>109250</c:v>
                </c:pt>
                <c:pt idx="96">
                  <c:v>127350</c:v>
                </c:pt>
                <c:pt idx="97">
                  <c:v>104010</c:v>
                </c:pt>
                <c:pt idx="98">
                  <c:v>133940</c:v>
                </c:pt>
                <c:pt idx="99">
                  <c:v>141130</c:v>
                </c:pt>
                <c:pt idx="100">
                  <c:v>136530</c:v>
                </c:pt>
                <c:pt idx="101">
                  <c:v>118040</c:v>
                </c:pt>
                <c:pt idx="102">
                  <c:v>153700</c:v>
                </c:pt>
                <c:pt idx="103">
                  <c:v>126310</c:v>
                </c:pt>
                <c:pt idx="104">
                  <c:v>134020</c:v>
                </c:pt>
                <c:pt idx="105">
                  <c:v>141560</c:v>
                </c:pt>
                <c:pt idx="106">
                  <c:v>142960</c:v>
                </c:pt>
                <c:pt idx="107">
                  <c:v>118530</c:v>
                </c:pt>
                <c:pt idx="108">
                  <c:v>121590</c:v>
                </c:pt>
                <c:pt idx="109">
                  <c:v>146400</c:v>
                </c:pt>
                <c:pt idx="110">
                  <c:v>141250</c:v>
                </c:pt>
                <c:pt idx="111">
                  <c:v>130729.99999999999</c:v>
                </c:pt>
                <c:pt idx="112">
                  <c:v>132650</c:v>
                </c:pt>
                <c:pt idx="113">
                  <c:v>125570</c:v>
                </c:pt>
                <c:pt idx="114">
                  <c:v>125740</c:v>
                </c:pt>
                <c:pt idx="115">
                  <c:v>120220</c:v>
                </c:pt>
                <c:pt idx="116">
                  <c:v>128289.99999999999</c:v>
                </c:pt>
                <c:pt idx="117">
                  <c:v>136890</c:v>
                </c:pt>
                <c:pt idx="118">
                  <c:v>142430</c:v>
                </c:pt>
                <c:pt idx="119">
                  <c:v>119310</c:v>
                </c:pt>
                <c:pt idx="120">
                  <c:v>120370</c:v>
                </c:pt>
                <c:pt idx="121">
                  <c:v>118830</c:v>
                </c:pt>
                <c:pt idx="122">
                  <c:v>124490</c:v>
                </c:pt>
                <c:pt idx="123">
                  <c:v>140570</c:v>
                </c:pt>
                <c:pt idx="124">
                  <c:v>133620</c:v>
                </c:pt>
                <c:pt idx="125">
                  <c:v>105050</c:v>
                </c:pt>
                <c:pt idx="126">
                  <c:v>147090</c:v>
                </c:pt>
                <c:pt idx="127">
                  <c:v>115430</c:v>
                </c:pt>
                <c:pt idx="128">
                  <c:v>125370</c:v>
                </c:pt>
                <c:pt idx="129">
                  <c:v>115970</c:v>
                </c:pt>
                <c:pt idx="130">
                  <c:v>125210</c:v>
                </c:pt>
                <c:pt idx="131">
                  <c:v>130370</c:v>
                </c:pt>
                <c:pt idx="132">
                  <c:v>119750</c:v>
                </c:pt>
                <c:pt idx="133">
                  <c:v>120930</c:v>
                </c:pt>
                <c:pt idx="134">
                  <c:v>126800</c:v>
                </c:pt>
                <c:pt idx="135">
                  <c:v>118820</c:v>
                </c:pt>
                <c:pt idx="136">
                  <c:v>144080</c:v>
                </c:pt>
                <c:pt idx="137">
                  <c:v>142490</c:v>
                </c:pt>
                <c:pt idx="138">
                  <c:v>140550</c:v>
                </c:pt>
                <c:pt idx="139">
                  <c:v>130360.00000000001</c:v>
                </c:pt>
                <c:pt idx="140">
                  <c:v>124270</c:v>
                </c:pt>
                <c:pt idx="141">
                  <c:v>167730</c:v>
                </c:pt>
                <c:pt idx="142">
                  <c:v>129190</c:v>
                </c:pt>
                <c:pt idx="143">
                  <c:v>125180</c:v>
                </c:pt>
                <c:pt idx="144">
                  <c:v>157510</c:v>
                </c:pt>
                <c:pt idx="145">
                  <c:v>126670</c:v>
                </c:pt>
                <c:pt idx="146">
                  <c:v>137570</c:v>
                </c:pt>
                <c:pt idx="147">
                  <c:v>133460</c:v>
                </c:pt>
              </c:numCache>
            </c:numRef>
          </c:yVal>
          <c:smooth val="0"/>
          <c:extLst>
            <c:ext xmlns:c16="http://schemas.microsoft.com/office/drawing/2014/chart" uri="{C3380CC4-5D6E-409C-BE32-E72D297353CC}">
              <c16:uniqueId val="{00000000-4B3D-470C-B6C5-4541C96EEF01}"/>
            </c:ext>
          </c:extLst>
        </c:ser>
        <c:dLbls>
          <c:showLegendKey val="0"/>
          <c:showVal val="0"/>
          <c:showCatName val="0"/>
          <c:showSerName val="0"/>
          <c:showPercent val="0"/>
          <c:showBubbleSize val="0"/>
        </c:dLbls>
        <c:axId val="1593521536"/>
        <c:axId val="1593522496"/>
      </c:scatterChart>
      <c:valAx>
        <c:axId val="1593521536"/>
        <c:scaling>
          <c:orientation val="minMax"/>
          <c:min val="70000"/>
        </c:scaling>
        <c:delete val="0"/>
        <c:axPos val="b"/>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522496"/>
        <c:crosses val="autoZero"/>
        <c:crossBetween val="midCat"/>
      </c:valAx>
      <c:valAx>
        <c:axId val="1593522496"/>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5215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Square Feet vs Appraised Value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'Q1'!$C$2:$C$149</c:f>
              <c:numCache>
                <c:formatCode>#,##0;[Red]#,##0</c:formatCode>
                <c:ptCount val="148"/>
                <c:pt idx="0">
                  <c:v>119370</c:v>
                </c:pt>
                <c:pt idx="1">
                  <c:v>148930</c:v>
                </c:pt>
                <c:pt idx="2">
                  <c:v>130389.99999999999</c:v>
                </c:pt>
                <c:pt idx="3">
                  <c:v>135700</c:v>
                </c:pt>
                <c:pt idx="4">
                  <c:v>126300</c:v>
                </c:pt>
                <c:pt idx="5">
                  <c:v>137080</c:v>
                </c:pt>
                <c:pt idx="6">
                  <c:v>123490</c:v>
                </c:pt>
                <c:pt idx="7">
                  <c:v>150830</c:v>
                </c:pt>
                <c:pt idx="8">
                  <c:v>123480</c:v>
                </c:pt>
                <c:pt idx="9">
                  <c:v>132050</c:v>
                </c:pt>
                <c:pt idx="10">
                  <c:v>148210</c:v>
                </c:pt>
                <c:pt idx="11">
                  <c:v>139530</c:v>
                </c:pt>
                <c:pt idx="12">
                  <c:v>114340</c:v>
                </c:pt>
                <c:pt idx="13">
                  <c:v>140040</c:v>
                </c:pt>
                <c:pt idx="14">
                  <c:v>136010</c:v>
                </c:pt>
                <c:pt idx="15">
                  <c:v>140930</c:v>
                </c:pt>
                <c:pt idx="16">
                  <c:v>132420</c:v>
                </c:pt>
                <c:pt idx="17">
                  <c:v>118300</c:v>
                </c:pt>
                <c:pt idx="18">
                  <c:v>122140</c:v>
                </c:pt>
                <c:pt idx="19">
                  <c:v>149820</c:v>
                </c:pt>
                <c:pt idx="20">
                  <c:v>128910</c:v>
                </c:pt>
                <c:pt idx="21">
                  <c:v>134610</c:v>
                </c:pt>
                <c:pt idx="22">
                  <c:v>121990</c:v>
                </c:pt>
                <c:pt idx="23">
                  <c:v>150500</c:v>
                </c:pt>
                <c:pt idx="24">
                  <c:v>142870</c:v>
                </c:pt>
                <c:pt idx="25">
                  <c:v>155550</c:v>
                </c:pt>
                <c:pt idx="26">
                  <c:v>128500</c:v>
                </c:pt>
                <c:pt idx="27">
                  <c:v>143360</c:v>
                </c:pt>
                <c:pt idx="28">
                  <c:v>119650</c:v>
                </c:pt>
                <c:pt idx="29">
                  <c:v>122570</c:v>
                </c:pt>
                <c:pt idx="30">
                  <c:v>145270</c:v>
                </c:pt>
                <c:pt idx="31">
                  <c:v>149730</c:v>
                </c:pt>
                <c:pt idx="32">
                  <c:v>147700</c:v>
                </c:pt>
                <c:pt idx="33">
                  <c:v>117530</c:v>
                </c:pt>
                <c:pt idx="34">
                  <c:v>140130</c:v>
                </c:pt>
                <c:pt idx="35">
                  <c:v>136570</c:v>
                </c:pt>
                <c:pt idx="36">
                  <c:v>130440</c:v>
                </c:pt>
                <c:pt idx="37">
                  <c:v>118130</c:v>
                </c:pt>
                <c:pt idx="38">
                  <c:v>130979.99999999999</c:v>
                </c:pt>
                <c:pt idx="39">
                  <c:v>131330</c:v>
                </c:pt>
                <c:pt idx="40">
                  <c:v>141100</c:v>
                </c:pt>
                <c:pt idx="41">
                  <c:v>117870</c:v>
                </c:pt>
                <c:pt idx="42">
                  <c:v>160580</c:v>
                </c:pt>
                <c:pt idx="43">
                  <c:v>151100</c:v>
                </c:pt>
                <c:pt idx="44">
                  <c:v>120150</c:v>
                </c:pt>
                <c:pt idx="45">
                  <c:v>133170</c:v>
                </c:pt>
                <c:pt idx="46">
                  <c:v>140160</c:v>
                </c:pt>
                <c:pt idx="47">
                  <c:v>124560</c:v>
                </c:pt>
                <c:pt idx="48">
                  <c:v>127970</c:v>
                </c:pt>
                <c:pt idx="49">
                  <c:v>101930</c:v>
                </c:pt>
                <c:pt idx="50">
                  <c:v>131470</c:v>
                </c:pt>
                <c:pt idx="51">
                  <c:v>121270</c:v>
                </c:pt>
                <c:pt idx="52">
                  <c:v>143550</c:v>
                </c:pt>
                <c:pt idx="53">
                  <c:v>136890</c:v>
                </c:pt>
                <c:pt idx="54">
                  <c:v>106110</c:v>
                </c:pt>
                <c:pt idx="55">
                  <c:v>137540</c:v>
                </c:pt>
                <c:pt idx="56">
                  <c:v>134330</c:v>
                </c:pt>
                <c:pt idx="57">
                  <c:v>127590</c:v>
                </c:pt>
                <c:pt idx="58">
                  <c:v>137440</c:v>
                </c:pt>
                <c:pt idx="59">
                  <c:v>114090</c:v>
                </c:pt>
                <c:pt idx="60">
                  <c:v>145460</c:v>
                </c:pt>
                <c:pt idx="61">
                  <c:v>141900</c:v>
                </c:pt>
                <c:pt idx="62">
                  <c:v>116340</c:v>
                </c:pt>
                <c:pt idx="63">
                  <c:v>149200</c:v>
                </c:pt>
                <c:pt idx="64">
                  <c:v>141810</c:v>
                </c:pt>
                <c:pt idx="65">
                  <c:v>116440</c:v>
                </c:pt>
                <c:pt idx="66">
                  <c:v>137740</c:v>
                </c:pt>
                <c:pt idx="67">
                  <c:v>144700</c:v>
                </c:pt>
                <c:pt idx="68">
                  <c:v>149660</c:v>
                </c:pt>
                <c:pt idx="69">
                  <c:v>118170</c:v>
                </c:pt>
                <c:pt idx="70">
                  <c:v>137660</c:v>
                </c:pt>
                <c:pt idx="71">
                  <c:v>119700</c:v>
                </c:pt>
                <c:pt idx="72">
                  <c:v>143120</c:v>
                </c:pt>
                <c:pt idx="73">
                  <c:v>129910</c:v>
                </c:pt>
                <c:pt idx="74">
                  <c:v>141780</c:v>
                </c:pt>
                <c:pt idx="75">
                  <c:v>159190</c:v>
                </c:pt>
                <c:pt idx="76">
                  <c:v>156130</c:v>
                </c:pt>
                <c:pt idx="77">
                  <c:v>126720</c:v>
                </c:pt>
                <c:pt idx="78">
                  <c:v>133220</c:v>
                </c:pt>
                <c:pt idx="79">
                  <c:v>118090</c:v>
                </c:pt>
                <c:pt idx="80">
                  <c:v>141630</c:v>
                </c:pt>
                <c:pt idx="81">
                  <c:v>138560</c:v>
                </c:pt>
                <c:pt idx="82">
                  <c:v>134100</c:v>
                </c:pt>
                <c:pt idx="83">
                  <c:v>132240</c:v>
                </c:pt>
                <c:pt idx="84">
                  <c:v>145820</c:v>
                </c:pt>
                <c:pt idx="85">
                  <c:v>127150</c:v>
                </c:pt>
                <c:pt idx="86">
                  <c:v>105070</c:v>
                </c:pt>
                <c:pt idx="87">
                  <c:v>127200</c:v>
                </c:pt>
                <c:pt idx="88">
                  <c:v>111560</c:v>
                </c:pt>
                <c:pt idx="89">
                  <c:v>150410</c:v>
                </c:pt>
                <c:pt idx="90">
                  <c:v>129150</c:v>
                </c:pt>
                <c:pt idx="91">
                  <c:v>130310</c:v>
                </c:pt>
                <c:pt idx="92">
                  <c:v>129229.99999999999</c:v>
                </c:pt>
                <c:pt idx="93">
                  <c:v>105060</c:v>
                </c:pt>
                <c:pt idx="94">
                  <c:v>134210</c:v>
                </c:pt>
                <c:pt idx="95">
                  <c:v>109250</c:v>
                </c:pt>
                <c:pt idx="96">
                  <c:v>127350</c:v>
                </c:pt>
                <c:pt idx="97">
                  <c:v>104010</c:v>
                </c:pt>
                <c:pt idx="98">
                  <c:v>133940</c:v>
                </c:pt>
                <c:pt idx="99">
                  <c:v>141130</c:v>
                </c:pt>
                <c:pt idx="100">
                  <c:v>136530</c:v>
                </c:pt>
                <c:pt idx="101">
                  <c:v>118040</c:v>
                </c:pt>
                <c:pt idx="102">
                  <c:v>153700</c:v>
                </c:pt>
                <c:pt idx="103">
                  <c:v>126310</c:v>
                </c:pt>
                <c:pt idx="104">
                  <c:v>134020</c:v>
                </c:pt>
                <c:pt idx="105">
                  <c:v>141560</c:v>
                </c:pt>
                <c:pt idx="106">
                  <c:v>142960</c:v>
                </c:pt>
                <c:pt idx="107">
                  <c:v>118530</c:v>
                </c:pt>
                <c:pt idx="108">
                  <c:v>121590</c:v>
                </c:pt>
                <c:pt idx="109">
                  <c:v>146400</c:v>
                </c:pt>
                <c:pt idx="110">
                  <c:v>141250</c:v>
                </c:pt>
                <c:pt idx="111">
                  <c:v>130729.99999999999</c:v>
                </c:pt>
                <c:pt idx="112">
                  <c:v>132650</c:v>
                </c:pt>
                <c:pt idx="113">
                  <c:v>125570</c:v>
                </c:pt>
                <c:pt idx="114">
                  <c:v>125740</c:v>
                </c:pt>
                <c:pt idx="115">
                  <c:v>120220</c:v>
                </c:pt>
                <c:pt idx="116">
                  <c:v>128289.99999999999</c:v>
                </c:pt>
                <c:pt idx="117">
                  <c:v>136890</c:v>
                </c:pt>
                <c:pt idx="118">
                  <c:v>142430</c:v>
                </c:pt>
                <c:pt idx="119">
                  <c:v>119310</c:v>
                </c:pt>
                <c:pt idx="120">
                  <c:v>120370</c:v>
                </c:pt>
                <c:pt idx="121">
                  <c:v>118830</c:v>
                </c:pt>
                <c:pt idx="122">
                  <c:v>124490</c:v>
                </c:pt>
                <c:pt idx="123">
                  <c:v>140570</c:v>
                </c:pt>
                <c:pt idx="124">
                  <c:v>133620</c:v>
                </c:pt>
                <c:pt idx="125">
                  <c:v>105050</c:v>
                </c:pt>
                <c:pt idx="126">
                  <c:v>147090</c:v>
                </c:pt>
                <c:pt idx="127">
                  <c:v>115430</c:v>
                </c:pt>
                <c:pt idx="128">
                  <c:v>125370</c:v>
                </c:pt>
                <c:pt idx="129">
                  <c:v>115970</c:v>
                </c:pt>
                <c:pt idx="130">
                  <c:v>125210</c:v>
                </c:pt>
                <c:pt idx="131">
                  <c:v>130370</c:v>
                </c:pt>
                <c:pt idx="132">
                  <c:v>119750</c:v>
                </c:pt>
                <c:pt idx="133">
                  <c:v>120930</c:v>
                </c:pt>
                <c:pt idx="134">
                  <c:v>126800</c:v>
                </c:pt>
                <c:pt idx="135">
                  <c:v>118820</c:v>
                </c:pt>
                <c:pt idx="136">
                  <c:v>144080</c:v>
                </c:pt>
                <c:pt idx="137">
                  <c:v>142490</c:v>
                </c:pt>
                <c:pt idx="138">
                  <c:v>140550</c:v>
                </c:pt>
                <c:pt idx="139">
                  <c:v>130360.00000000001</c:v>
                </c:pt>
                <c:pt idx="140">
                  <c:v>124270</c:v>
                </c:pt>
                <c:pt idx="141">
                  <c:v>167730</c:v>
                </c:pt>
                <c:pt idx="142">
                  <c:v>129190</c:v>
                </c:pt>
                <c:pt idx="143">
                  <c:v>125180</c:v>
                </c:pt>
                <c:pt idx="144">
                  <c:v>157510</c:v>
                </c:pt>
                <c:pt idx="145">
                  <c:v>126670</c:v>
                </c:pt>
                <c:pt idx="146">
                  <c:v>137570</c:v>
                </c:pt>
                <c:pt idx="147">
                  <c:v>133460</c:v>
                </c:pt>
              </c:numCache>
            </c:numRef>
          </c:xVal>
          <c:yVal>
            <c:numRef>
              <c:f>'Q1'!$D$2:$D$149</c:f>
              <c:numCache>
                <c:formatCode>0</c:formatCode>
                <c:ptCount val="148"/>
                <c:pt idx="0">
                  <c:v>2050</c:v>
                </c:pt>
                <c:pt idx="1">
                  <c:v>2200</c:v>
                </c:pt>
                <c:pt idx="2">
                  <c:v>1590</c:v>
                </c:pt>
                <c:pt idx="3">
                  <c:v>1860.0000000000002</c:v>
                </c:pt>
                <c:pt idx="4">
                  <c:v>1210</c:v>
                </c:pt>
                <c:pt idx="5">
                  <c:v>1710.0000000000002</c:v>
                </c:pt>
                <c:pt idx="6">
                  <c:v>1670</c:v>
                </c:pt>
                <c:pt idx="7">
                  <c:v>1780</c:v>
                </c:pt>
                <c:pt idx="8">
                  <c:v>1520</c:v>
                </c:pt>
                <c:pt idx="9">
                  <c:v>1830</c:v>
                </c:pt>
                <c:pt idx="10">
                  <c:v>1700</c:v>
                </c:pt>
                <c:pt idx="11">
                  <c:v>1720</c:v>
                </c:pt>
                <c:pt idx="12">
                  <c:v>1670</c:v>
                </c:pt>
                <c:pt idx="13">
                  <c:v>1650</c:v>
                </c:pt>
                <c:pt idx="14">
                  <c:v>1610.0000000000002</c:v>
                </c:pt>
                <c:pt idx="15">
                  <c:v>1570</c:v>
                </c:pt>
                <c:pt idx="16">
                  <c:v>1650</c:v>
                </c:pt>
                <c:pt idx="17">
                  <c:v>1639.9999999999998</c:v>
                </c:pt>
                <c:pt idx="18">
                  <c:v>1420</c:v>
                </c:pt>
                <c:pt idx="19">
                  <c:v>2070</c:v>
                </c:pt>
                <c:pt idx="20">
                  <c:v>1610.0000000000002</c:v>
                </c:pt>
                <c:pt idx="21">
                  <c:v>1910.0000000000002</c:v>
                </c:pt>
                <c:pt idx="22">
                  <c:v>1410</c:v>
                </c:pt>
                <c:pt idx="23">
                  <c:v>1860.0000000000002</c:v>
                </c:pt>
                <c:pt idx="24">
                  <c:v>1989.9999999999998</c:v>
                </c:pt>
                <c:pt idx="25">
                  <c:v>2270</c:v>
                </c:pt>
                <c:pt idx="26">
                  <c:v>1964.9999999999998</c:v>
                </c:pt>
                <c:pt idx="27">
                  <c:v>1820</c:v>
                </c:pt>
                <c:pt idx="28">
                  <c:v>1650</c:v>
                </c:pt>
                <c:pt idx="29">
                  <c:v>1470</c:v>
                </c:pt>
                <c:pt idx="30">
                  <c:v>1850</c:v>
                </c:pt>
                <c:pt idx="31">
                  <c:v>2170</c:v>
                </c:pt>
                <c:pt idx="32">
                  <c:v>1930</c:v>
                </c:pt>
                <c:pt idx="33">
                  <c:v>1380</c:v>
                </c:pt>
                <c:pt idx="34">
                  <c:v>1810.0000000000002</c:v>
                </c:pt>
                <c:pt idx="35">
                  <c:v>1760.0000000000002</c:v>
                </c:pt>
                <c:pt idx="36">
                  <c:v>1530</c:v>
                </c:pt>
                <c:pt idx="37">
                  <c:v>1700</c:v>
                </c:pt>
                <c:pt idx="38">
                  <c:v>1980</c:v>
                </c:pt>
                <c:pt idx="39">
                  <c:v>1590</c:v>
                </c:pt>
                <c:pt idx="40">
                  <c:v>1739.9999999999998</c:v>
                </c:pt>
                <c:pt idx="41">
                  <c:v>1730</c:v>
                </c:pt>
                <c:pt idx="42">
                  <c:v>2100</c:v>
                </c:pt>
                <c:pt idx="43">
                  <c:v>2039.9999999999998</c:v>
                </c:pt>
                <c:pt idx="44">
                  <c:v>1730</c:v>
                </c:pt>
                <c:pt idx="45">
                  <c:v>1680</c:v>
                </c:pt>
                <c:pt idx="46">
                  <c:v>2050</c:v>
                </c:pt>
                <c:pt idx="47">
                  <c:v>1750</c:v>
                </c:pt>
                <c:pt idx="48">
                  <c:v>1870</c:v>
                </c:pt>
                <c:pt idx="49">
                  <c:v>1330</c:v>
                </c:pt>
                <c:pt idx="50">
                  <c:v>1700</c:v>
                </c:pt>
                <c:pt idx="51">
                  <c:v>1460</c:v>
                </c:pt>
                <c:pt idx="52">
                  <c:v>1910.0000000000002</c:v>
                </c:pt>
                <c:pt idx="53">
                  <c:v>1610.0000000000002</c:v>
                </c:pt>
                <c:pt idx="54">
                  <c:v>1470</c:v>
                </c:pt>
                <c:pt idx="55">
                  <c:v>1810.0000000000002</c:v>
                </c:pt>
                <c:pt idx="56">
                  <c:v>1650</c:v>
                </c:pt>
                <c:pt idx="57">
                  <c:v>1520</c:v>
                </c:pt>
                <c:pt idx="58">
                  <c:v>1920</c:v>
                </c:pt>
                <c:pt idx="59">
                  <c:v>1410</c:v>
                </c:pt>
                <c:pt idx="60">
                  <c:v>2030</c:v>
                </c:pt>
                <c:pt idx="61">
                  <c:v>1950</c:v>
                </c:pt>
                <c:pt idx="62">
                  <c:v>1340</c:v>
                </c:pt>
                <c:pt idx="63">
                  <c:v>1850</c:v>
                </c:pt>
                <c:pt idx="64">
                  <c:v>1780</c:v>
                </c:pt>
                <c:pt idx="65">
                  <c:v>1440</c:v>
                </c:pt>
                <c:pt idx="66">
                  <c:v>2039.9999999999998</c:v>
                </c:pt>
                <c:pt idx="67">
                  <c:v>2160</c:v>
                </c:pt>
                <c:pt idx="68">
                  <c:v>2170</c:v>
                </c:pt>
                <c:pt idx="69">
                  <c:v>1710.0000000000002</c:v>
                </c:pt>
                <c:pt idx="70">
                  <c:v>1639.9999999999998</c:v>
                </c:pt>
                <c:pt idx="71">
                  <c:v>1380</c:v>
                </c:pt>
                <c:pt idx="72">
                  <c:v>2100</c:v>
                </c:pt>
                <c:pt idx="73">
                  <c:v>1610.0000000000002</c:v>
                </c:pt>
                <c:pt idx="74">
                  <c:v>1950</c:v>
                </c:pt>
                <c:pt idx="75">
                  <c:v>2080</c:v>
                </c:pt>
                <c:pt idx="76">
                  <c:v>1960.0000000000002</c:v>
                </c:pt>
                <c:pt idx="77">
                  <c:v>1920</c:v>
                </c:pt>
                <c:pt idx="78">
                  <c:v>1920</c:v>
                </c:pt>
                <c:pt idx="79">
                  <c:v>1490</c:v>
                </c:pt>
                <c:pt idx="80">
                  <c:v>1600</c:v>
                </c:pt>
                <c:pt idx="81">
                  <c:v>1650</c:v>
                </c:pt>
                <c:pt idx="82">
                  <c:v>1889.9999999999998</c:v>
                </c:pt>
                <c:pt idx="83">
                  <c:v>1620</c:v>
                </c:pt>
                <c:pt idx="84">
                  <c:v>1820</c:v>
                </c:pt>
                <c:pt idx="85">
                  <c:v>1750</c:v>
                </c:pt>
                <c:pt idx="86">
                  <c:v>1460</c:v>
                </c:pt>
                <c:pt idx="87">
                  <c:v>1530</c:v>
                </c:pt>
                <c:pt idx="88">
                  <c:v>1540</c:v>
                </c:pt>
                <c:pt idx="89">
                  <c:v>1950</c:v>
                </c:pt>
                <c:pt idx="90">
                  <c:v>1480</c:v>
                </c:pt>
                <c:pt idx="91">
                  <c:v>2050</c:v>
                </c:pt>
                <c:pt idx="92">
                  <c:v>1660.0000000000002</c:v>
                </c:pt>
                <c:pt idx="93">
                  <c:v>1540</c:v>
                </c:pt>
                <c:pt idx="94">
                  <c:v>1720</c:v>
                </c:pt>
                <c:pt idx="95">
                  <c:v>1400</c:v>
                </c:pt>
                <c:pt idx="96">
                  <c:v>1578</c:v>
                </c:pt>
                <c:pt idx="97">
                  <c:v>1700</c:v>
                </c:pt>
                <c:pt idx="98">
                  <c:v>1880</c:v>
                </c:pt>
                <c:pt idx="99">
                  <c:v>1850</c:v>
                </c:pt>
                <c:pt idx="100">
                  <c:v>1430</c:v>
                </c:pt>
                <c:pt idx="101">
                  <c:v>1390</c:v>
                </c:pt>
                <c:pt idx="102">
                  <c:v>2130</c:v>
                </c:pt>
                <c:pt idx="103">
                  <c:v>1889.9999999999998</c:v>
                </c:pt>
                <c:pt idx="104">
                  <c:v>1639.9999999999998</c:v>
                </c:pt>
                <c:pt idx="105">
                  <c:v>2070</c:v>
                </c:pt>
                <c:pt idx="106">
                  <c:v>1810.0000000000002</c:v>
                </c:pt>
                <c:pt idx="107">
                  <c:v>1460</c:v>
                </c:pt>
                <c:pt idx="108">
                  <c:v>1410</c:v>
                </c:pt>
                <c:pt idx="109">
                  <c:v>2190</c:v>
                </c:pt>
                <c:pt idx="110">
                  <c:v>1580</c:v>
                </c:pt>
                <c:pt idx="111">
                  <c:v>1839.9999999999998</c:v>
                </c:pt>
                <c:pt idx="112">
                  <c:v>1930</c:v>
                </c:pt>
                <c:pt idx="113">
                  <c:v>1930</c:v>
                </c:pt>
                <c:pt idx="114">
                  <c:v>1820</c:v>
                </c:pt>
                <c:pt idx="115">
                  <c:v>1480</c:v>
                </c:pt>
                <c:pt idx="116">
                  <c:v>1600</c:v>
                </c:pt>
                <c:pt idx="117">
                  <c:v>1880</c:v>
                </c:pt>
                <c:pt idx="118">
                  <c:v>1780</c:v>
                </c:pt>
                <c:pt idx="119">
                  <c:v>1920</c:v>
                </c:pt>
                <c:pt idx="120">
                  <c:v>1830</c:v>
                </c:pt>
                <c:pt idx="121">
                  <c:v>1470</c:v>
                </c:pt>
                <c:pt idx="122">
                  <c:v>1689.9999999999998</c:v>
                </c:pt>
                <c:pt idx="123">
                  <c:v>1930</c:v>
                </c:pt>
                <c:pt idx="124">
                  <c:v>1970</c:v>
                </c:pt>
                <c:pt idx="125">
                  <c:v>1530</c:v>
                </c:pt>
                <c:pt idx="126">
                  <c:v>2030</c:v>
                </c:pt>
                <c:pt idx="127">
                  <c:v>1830</c:v>
                </c:pt>
                <c:pt idx="128">
                  <c:v>2070</c:v>
                </c:pt>
                <c:pt idx="129">
                  <c:v>1630</c:v>
                </c:pt>
                <c:pt idx="130">
                  <c:v>1580</c:v>
                </c:pt>
                <c:pt idx="131">
                  <c:v>1760.0000000000002</c:v>
                </c:pt>
                <c:pt idx="132">
                  <c:v>1810.0000000000002</c:v>
                </c:pt>
                <c:pt idx="133">
                  <c:v>1710.0000000000002</c:v>
                </c:pt>
                <c:pt idx="134">
                  <c:v>1889.9999999999998</c:v>
                </c:pt>
                <c:pt idx="135">
                  <c:v>1639.9999999999998</c:v>
                </c:pt>
                <c:pt idx="136">
                  <c:v>2010.0000000000002</c:v>
                </c:pt>
                <c:pt idx="137">
                  <c:v>1730</c:v>
                </c:pt>
                <c:pt idx="138">
                  <c:v>1770</c:v>
                </c:pt>
                <c:pt idx="139">
                  <c:v>1750</c:v>
                </c:pt>
                <c:pt idx="140">
                  <c:v>1660.0000000000002</c:v>
                </c:pt>
                <c:pt idx="141">
                  <c:v>2510</c:v>
                </c:pt>
                <c:pt idx="142">
                  <c:v>1700</c:v>
                </c:pt>
                <c:pt idx="143">
                  <c:v>1660.0000000000002</c:v>
                </c:pt>
                <c:pt idx="144">
                  <c:v>2110</c:v>
                </c:pt>
                <c:pt idx="145">
                  <c:v>1430</c:v>
                </c:pt>
                <c:pt idx="146">
                  <c:v>1710.0000000000002</c:v>
                </c:pt>
                <c:pt idx="147">
                  <c:v>1580</c:v>
                </c:pt>
              </c:numCache>
            </c:numRef>
          </c:yVal>
          <c:smooth val="0"/>
          <c:extLst>
            <c:ext xmlns:c16="http://schemas.microsoft.com/office/drawing/2014/chart" uri="{C3380CC4-5D6E-409C-BE32-E72D297353CC}">
              <c16:uniqueId val="{00000000-1019-4553-B802-F7C58E039216}"/>
            </c:ext>
          </c:extLst>
        </c:ser>
        <c:dLbls>
          <c:showLegendKey val="0"/>
          <c:showVal val="0"/>
          <c:showCatName val="0"/>
          <c:showSerName val="0"/>
          <c:showPercent val="0"/>
          <c:showBubbleSize val="0"/>
        </c:dLbls>
        <c:axId val="1695159760"/>
        <c:axId val="1695161200"/>
      </c:scatterChart>
      <c:valAx>
        <c:axId val="1695159760"/>
        <c:scaling>
          <c:orientation val="minMax"/>
          <c:min val="90000"/>
        </c:scaling>
        <c:delete val="0"/>
        <c:axPos val="b"/>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161200"/>
        <c:crosses val="autoZero"/>
        <c:crossBetween val="midCat"/>
      </c:valAx>
      <c:valAx>
        <c:axId val="1695161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1597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appraised</a:t>
            </a:r>
            <a:r>
              <a:rPr lang="en-US" baseline="0"/>
              <a:t> </a:t>
            </a:r>
            <a:r>
              <a:rPr lang="en-US"/>
              <a:t>1  Residual Plot</a:t>
            </a:r>
          </a:p>
        </c:rich>
      </c:tx>
      <c:overlay val="0"/>
    </c:title>
    <c:autoTitleDeleted val="0"/>
    <c:plotArea>
      <c:layout/>
      <c:scatterChart>
        <c:scatterStyle val="lineMarker"/>
        <c:varyColors val="0"/>
        <c:ser>
          <c:idx val="0"/>
          <c:order val="0"/>
          <c:spPr>
            <a:ln w="19050">
              <a:noFill/>
            </a:ln>
          </c:spPr>
          <c:xVal>
            <c:numRef>
              <c:f>'Q1'!$C$2:$C$149</c:f>
              <c:numCache>
                <c:formatCode>#,##0;[Red]#,##0</c:formatCode>
                <c:ptCount val="148"/>
                <c:pt idx="0">
                  <c:v>119370</c:v>
                </c:pt>
                <c:pt idx="1">
                  <c:v>148930</c:v>
                </c:pt>
                <c:pt idx="2">
                  <c:v>130389.99999999999</c:v>
                </c:pt>
                <c:pt idx="3">
                  <c:v>135700</c:v>
                </c:pt>
                <c:pt idx="4">
                  <c:v>126300</c:v>
                </c:pt>
                <c:pt idx="5">
                  <c:v>137080</c:v>
                </c:pt>
                <c:pt idx="6">
                  <c:v>123490</c:v>
                </c:pt>
                <c:pt idx="7">
                  <c:v>150830</c:v>
                </c:pt>
                <c:pt idx="8">
                  <c:v>123480</c:v>
                </c:pt>
                <c:pt idx="9">
                  <c:v>132050</c:v>
                </c:pt>
                <c:pt idx="10">
                  <c:v>148210</c:v>
                </c:pt>
                <c:pt idx="11">
                  <c:v>139530</c:v>
                </c:pt>
                <c:pt idx="12">
                  <c:v>114340</c:v>
                </c:pt>
                <c:pt idx="13">
                  <c:v>140040</c:v>
                </c:pt>
                <c:pt idx="14">
                  <c:v>136010</c:v>
                </c:pt>
                <c:pt idx="15">
                  <c:v>140930</c:v>
                </c:pt>
                <c:pt idx="16">
                  <c:v>132420</c:v>
                </c:pt>
                <c:pt idx="17">
                  <c:v>118300</c:v>
                </c:pt>
                <c:pt idx="18">
                  <c:v>122140</c:v>
                </c:pt>
                <c:pt idx="19">
                  <c:v>149820</c:v>
                </c:pt>
                <c:pt idx="20">
                  <c:v>128910</c:v>
                </c:pt>
                <c:pt idx="21">
                  <c:v>134610</c:v>
                </c:pt>
                <c:pt idx="22">
                  <c:v>121990</c:v>
                </c:pt>
                <c:pt idx="23">
                  <c:v>150500</c:v>
                </c:pt>
                <c:pt idx="24">
                  <c:v>142870</c:v>
                </c:pt>
                <c:pt idx="25">
                  <c:v>155550</c:v>
                </c:pt>
                <c:pt idx="26">
                  <c:v>128500</c:v>
                </c:pt>
                <c:pt idx="27">
                  <c:v>143360</c:v>
                </c:pt>
                <c:pt idx="28">
                  <c:v>119650</c:v>
                </c:pt>
                <c:pt idx="29">
                  <c:v>122570</c:v>
                </c:pt>
                <c:pt idx="30">
                  <c:v>145270</c:v>
                </c:pt>
                <c:pt idx="31">
                  <c:v>149730</c:v>
                </c:pt>
                <c:pt idx="32">
                  <c:v>147700</c:v>
                </c:pt>
                <c:pt idx="33">
                  <c:v>117530</c:v>
                </c:pt>
                <c:pt idx="34">
                  <c:v>140130</c:v>
                </c:pt>
                <c:pt idx="35">
                  <c:v>136570</c:v>
                </c:pt>
                <c:pt idx="36">
                  <c:v>130440</c:v>
                </c:pt>
                <c:pt idx="37">
                  <c:v>118130</c:v>
                </c:pt>
                <c:pt idx="38">
                  <c:v>130979.99999999999</c:v>
                </c:pt>
                <c:pt idx="39">
                  <c:v>131330</c:v>
                </c:pt>
                <c:pt idx="40">
                  <c:v>141100</c:v>
                </c:pt>
                <c:pt idx="41">
                  <c:v>117870</c:v>
                </c:pt>
                <c:pt idx="42">
                  <c:v>160580</c:v>
                </c:pt>
                <c:pt idx="43">
                  <c:v>151100</c:v>
                </c:pt>
                <c:pt idx="44">
                  <c:v>120150</c:v>
                </c:pt>
                <c:pt idx="45">
                  <c:v>133170</c:v>
                </c:pt>
                <c:pt idx="46">
                  <c:v>140160</c:v>
                </c:pt>
                <c:pt idx="47">
                  <c:v>124560</c:v>
                </c:pt>
                <c:pt idx="48">
                  <c:v>127970</c:v>
                </c:pt>
                <c:pt idx="49">
                  <c:v>101930</c:v>
                </c:pt>
                <c:pt idx="50">
                  <c:v>131470</c:v>
                </c:pt>
                <c:pt idx="51">
                  <c:v>121270</c:v>
                </c:pt>
                <c:pt idx="52">
                  <c:v>143550</c:v>
                </c:pt>
                <c:pt idx="53">
                  <c:v>136890</c:v>
                </c:pt>
                <c:pt idx="54">
                  <c:v>106110</c:v>
                </c:pt>
                <c:pt idx="55">
                  <c:v>137540</c:v>
                </c:pt>
                <c:pt idx="56">
                  <c:v>134330</c:v>
                </c:pt>
                <c:pt idx="57">
                  <c:v>127590</c:v>
                </c:pt>
                <c:pt idx="58">
                  <c:v>137440</c:v>
                </c:pt>
                <c:pt idx="59">
                  <c:v>114090</c:v>
                </c:pt>
                <c:pt idx="60">
                  <c:v>145460</c:v>
                </c:pt>
                <c:pt idx="61">
                  <c:v>141900</c:v>
                </c:pt>
                <c:pt idx="62">
                  <c:v>116340</c:v>
                </c:pt>
                <c:pt idx="63">
                  <c:v>149200</c:v>
                </c:pt>
                <c:pt idx="64">
                  <c:v>141810</c:v>
                </c:pt>
                <c:pt idx="65">
                  <c:v>116440</c:v>
                </c:pt>
                <c:pt idx="66">
                  <c:v>137740</c:v>
                </c:pt>
                <c:pt idx="67">
                  <c:v>144700</c:v>
                </c:pt>
                <c:pt idx="68">
                  <c:v>149660</c:v>
                </c:pt>
                <c:pt idx="69">
                  <c:v>118170</c:v>
                </c:pt>
                <c:pt idx="70">
                  <c:v>137660</c:v>
                </c:pt>
                <c:pt idx="71">
                  <c:v>119700</c:v>
                </c:pt>
                <c:pt idx="72">
                  <c:v>143120</c:v>
                </c:pt>
                <c:pt idx="73">
                  <c:v>129910</c:v>
                </c:pt>
                <c:pt idx="74">
                  <c:v>141780</c:v>
                </c:pt>
                <c:pt idx="75">
                  <c:v>159190</c:v>
                </c:pt>
                <c:pt idx="76">
                  <c:v>156130</c:v>
                </c:pt>
                <c:pt idx="77">
                  <c:v>126720</c:v>
                </c:pt>
                <c:pt idx="78">
                  <c:v>133220</c:v>
                </c:pt>
                <c:pt idx="79">
                  <c:v>118090</c:v>
                </c:pt>
                <c:pt idx="80">
                  <c:v>141630</c:v>
                </c:pt>
                <c:pt idx="81">
                  <c:v>138560</c:v>
                </c:pt>
                <c:pt idx="82">
                  <c:v>134100</c:v>
                </c:pt>
                <c:pt idx="83">
                  <c:v>132240</c:v>
                </c:pt>
                <c:pt idx="84">
                  <c:v>145820</c:v>
                </c:pt>
                <c:pt idx="85">
                  <c:v>127150</c:v>
                </c:pt>
                <c:pt idx="86">
                  <c:v>105070</c:v>
                </c:pt>
                <c:pt idx="87">
                  <c:v>127200</c:v>
                </c:pt>
                <c:pt idx="88">
                  <c:v>111560</c:v>
                </c:pt>
                <c:pt idx="89">
                  <c:v>150410</c:v>
                </c:pt>
                <c:pt idx="90">
                  <c:v>129150</c:v>
                </c:pt>
                <c:pt idx="91">
                  <c:v>130310</c:v>
                </c:pt>
                <c:pt idx="92">
                  <c:v>129229.99999999999</c:v>
                </c:pt>
                <c:pt idx="93">
                  <c:v>105060</c:v>
                </c:pt>
                <c:pt idx="94">
                  <c:v>134210</c:v>
                </c:pt>
                <c:pt idx="95">
                  <c:v>109250</c:v>
                </c:pt>
                <c:pt idx="96">
                  <c:v>127350</c:v>
                </c:pt>
                <c:pt idx="97">
                  <c:v>104010</c:v>
                </c:pt>
                <c:pt idx="98">
                  <c:v>133940</c:v>
                </c:pt>
                <c:pt idx="99">
                  <c:v>141130</c:v>
                </c:pt>
                <c:pt idx="100">
                  <c:v>136530</c:v>
                </c:pt>
                <c:pt idx="101">
                  <c:v>118040</c:v>
                </c:pt>
                <c:pt idx="102">
                  <c:v>153700</c:v>
                </c:pt>
                <c:pt idx="103">
                  <c:v>126310</c:v>
                </c:pt>
                <c:pt idx="104">
                  <c:v>134020</c:v>
                </c:pt>
                <c:pt idx="105">
                  <c:v>141560</c:v>
                </c:pt>
                <c:pt idx="106">
                  <c:v>142960</c:v>
                </c:pt>
                <c:pt idx="107">
                  <c:v>118530</c:v>
                </c:pt>
                <c:pt idx="108">
                  <c:v>121590</c:v>
                </c:pt>
                <c:pt idx="109">
                  <c:v>146400</c:v>
                </c:pt>
                <c:pt idx="110">
                  <c:v>141250</c:v>
                </c:pt>
                <c:pt idx="111">
                  <c:v>130729.99999999999</c:v>
                </c:pt>
                <c:pt idx="112">
                  <c:v>132650</c:v>
                </c:pt>
                <c:pt idx="113">
                  <c:v>125570</c:v>
                </c:pt>
                <c:pt idx="114">
                  <c:v>125740</c:v>
                </c:pt>
                <c:pt idx="115">
                  <c:v>120220</c:v>
                </c:pt>
                <c:pt idx="116">
                  <c:v>128289.99999999999</c:v>
                </c:pt>
                <c:pt idx="117">
                  <c:v>136890</c:v>
                </c:pt>
                <c:pt idx="118">
                  <c:v>142430</c:v>
                </c:pt>
                <c:pt idx="119">
                  <c:v>119310</c:v>
                </c:pt>
                <c:pt idx="120">
                  <c:v>120370</c:v>
                </c:pt>
                <c:pt idx="121">
                  <c:v>118830</c:v>
                </c:pt>
                <c:pt idx="122">
                  <c:v>124490</c:v>
                </c:pt>
                <c:pt idx="123">
                  <c:v>140570</c:v>
                </c:pt>
                <c:pt idx="124">
                  <c:v>133620</c:v>
                </c:pt>
                <c:pt idx="125">
                  <c:v>105050</c:v>
                </c:pt>
                <c:pt idx="126">
                  <c:v>147090</c:v>
                </c:pt>
                <c:pt idx="127">
                  <c:v>115430</c:v>
                </c:pt>
                <c:pt idx="128">
                  <c:v>125370</c:v>
                </c:pt>
                <c:pt idx="129">
                  <c:v>115970</c:v>
                </c:pt>
                <c:pt idx="130">
                  <c:v>125210</c:v>
                </c:pt>
                <c:pt idx="131">
                  <c:v>130370</c:v>
                </c:pt>
                <c:pt idx="132">
                  <c:v>119750</c:v>
                </c:pt>
                <c:pt idx="133">
                  <c:v>120930</c:v>
                </c:pt>
                <c:pt idx="134">
                  <c:v>126800</c:v>
                </c:pt>
                <c:pt idx="135">
                  <c:v>118820</c:v>
                </c:pt>
                <c:pt idx="136">
                  <c:v>144080</c:v>
                </c:pt>
                <c:pt idx="137">
                  <c:v>142490</c:v>
                </c:pt>
                <c:pt idx="138">
                  <c:v>140550</c:v>
                </c:pt>
                <c:pt idx="139">
                  <c:v>130360.00000000001</c:v>
                </c:pt>
                <c:pt idx="140">
                  <c:v>124270</c:v>
                </c:pt>
                <c:pt idx="141">
                  <c:v>167730</c:v>
                </c:pt>
                <c:pt idx="142">
                  <c:v>129190</c:v>
                </c:pt>
                <c:pt idx="143">
                  <c:v>125180</c:v>
                </c:pt>
                <c:pt idx="144">
                  <c:v>157510</c:v>
                </c:pt>
                <c:pt idx="145">
                  <c:v>126670</c:v>
                </c:pt>
                <c:pt idx="146">
                  <c:v>137570</c:v>
                </c:pt>
                <c:pt idx="147">
                  <c:v>133460</c:v>
                </c:pt>
              </c:numCache>
            </c:numRef>
          </c:xVal>
          <c:yVal>
            <c:numRef>
              <c:f>'Regression Q1 A'!$C$26:$C$173</c:f>
              <c:numCache>
                <c:formatCode>General</c:formatCode>
                <c:ptCount val="148"/>
                <c:pt idx="0">
                  <c:v>-8807.5766924655472</c:v>
                </c:pt>
                <c:pt idx="1">
                  <c:v>-3675.0848755106854</c:v>
                </c:pt>
                <c:pt idx="2">
                  <c:v>-5505.1117332640715</c:v>
                </c:pt>
                <c:pt idx="3">
                  <c:v>6678.7564208994736</c:v>
                </c:pt>
                <c:pt idx="4">
                  <c:v>-1167.8081318222394</c:v>
                </c:pt>
                <c:pt idx="5">
                  <c:v>4098.9318046634144</c:v>
                </c:pt>
                <c:pt idx="6">
                  <c:v>-9594.0029643946909</c:v>
                </c:pt>
                <c:pt idx="7">
                  <c:v>-5619.6357654904132</c:v>
                </c:pt>
                <c:pt idx="8">
                  <c:v>-1811.8562622402678</c:v>
                </c:pt>
                <c:pt idx="9">
                  <c:v>12695.352214199695</c:v>
                </c:pt>
                <c:pt idx="10">
                  <c:v>9540.7424808036303</c:v>
                </c:pt>
                <c:pt idx="11">
                  <c:v>7534.2646510106861</c:v>
                </c:pt>
                <c:pt idx="12">
                  <c:v>-12063.256515997084</c:v>
                </c:pt>
                <c:pt idx="13">
                  <c:v>11359.155242568842</c:v>
                </c:pt>
                <c:pt idx="14">
                  <c:v>2597.6263700482668</c:v>
                </c:pt>
                <c:pt idx="15">
                  <c:v>5240.8864906250965</c:v>
                </c:pt>
                <c:pt idx="16">
                  <c:v>-1056.9444364705269</c:v>
                </c:pt>
                <c:pt idx="17">
                  <c:v>-23.784271582728252</c:v>
                </c:pt>
                <c:pt idx="18">
                  <c:v>-7820.1888508371194</c:v>
                </c:pt>
                <c:pt idx="19">
                  <c:v>-6601.5636507612071</c:v>
                </c:pt>
                <c:pt idx="20">
                  <c:v>11299.134543121851</c:v>
                </c:pt>
                <c:pt idx="21">
                  <c:v>-8664.3653996458161</c:v>
                </c:pt>
                <c:pt idx="22">
                  <c:v>-5124.1792743772239</c:v>
                </c:pt>
                <c:pt idx="23">
                  <c:v>-6650.8662497327896</c:v>
                </c:pt>
                <c:pt idx="24">
                  <c:v>7583.1569039002643</c:v>
                </c:pt>
                <c:pt idx="25">
                  <c:v>-2121.8139563666773</c:v>
                </c:pt>
                <c:pt idx="26">
                  <c:v>527.27336366480449</c:v>
                </c:pt>
                <c:pt idx="27">
                  <c:v>9985.1809929943993</c:v>
                </c:pt>
                <c:pt idx="28">
                  <c:v>-1763.0064970128296</c:v>
                </c:pt>
                <c:pt idx="29">
                  <c:v>-1773.3800267446786</c:v>
                </c:pt>
                <c:pt idx="30">
                  <c:v>5567.7435407009034</c:v>
                </c:pt>
                <c:pt idx="31">
                  <c:v>-6964.1526554748998</c:v>
                </c:pt>
                <c:pt idx="32">
                  <c:v>-3423.8760361728491</c:v>
                </c:pt>
                <c:pt idx="33">
                  <c:v>3451.3350569778995</c:v>
                </c:pt>
                <c:pt idx="34">
                  <c:v>6468.4363684777636</c:v>
                </c:pt>
                <c:pt idx="35">
                  <c:v>-767.24279621746973</c:v>
                </c:pt>
                <c:pt idx="36">
                  <c:v>-5492.8476216059935</c:v>
                </c:pt>
                <c:pt idx="37">
                  <c:v>10645.272881656187</c:v>
                </c:pt>
                <c:pt idx="38">
                  <c:v>10485.096896118455</c:v>
                </c:pt>
                <c:pt idx="39">
                  <c:v>-432.12830829070299</c:v>
                </c:pt>
                <c:pt idx="40">
                  <c:v>3171.5954445973912</c:v>
                </c:pt>
                <c:pt idx="41">
                  <c:v>748.39496958380914</c:v>
                </c:pt>
                <c:pt idx="42">
                  <c:v>2353.5556107902376</c:v>
                </c:pt>
                <c:pt idx="43">
                  <c:v>5424.0835096865485</c:v>
                </c:pt>
                <c:pt idx="44">
                  <c:v>-9796.709063459537</c:v>
                </c:pt>
                <c:pt idx="45">
                  <c:v>7441.7236719072098</c:v>
                </c:pt>
                <c:pt idx="46">
                  <c:v>5153.5141641260707</c:v>
                </c:pt>
                <c:pt idx="47">
                  <c:v>-5683.9815391022712</c:v>
                </c:pt>
                <c:pt idx="48">
                  <c:v>3862.8432393437542</c:v>
                </c:pt>
                <c:pt idx="49">
                  <c:v>5984.8894702834659</c:v>
                </c:pt>
                <c:pt idx="50">
                  <c:v>-4084.9410660623398</c:v>
                </c:pt>
                <c:pt idx="51">
                  <c:v>1131.9583383116551</c:v>
                </c:pt>
                <c:pt idx="52">
                  <c:v>7897.2003655263106</c:v>
                </c:pt>
                <c:pt idx="53">
                  <c:v>-578.72957252984634</c:v>
                </c:pt>
                <c:pt idx="54">
                  <c:v>5071.1868082963338</c:v>
                </c:pt>
                <c:pt idx="55">
                  <c:v>3473.6203358384082</c:v>
                </c:pt>
                <c:pt idx="56">
                  <c:v>-48481.307902748056</c:v>
                </c:pt>
                <c:pt idx="57">
                  <c:v>-6687.1095849631529</c:v>
                </c:pt>
                <c:pt idx="58">
                  <c:v>63.450107860844582</c:v>
                </c:pt>
                <c:pt idx="59">
                  <c:v>169.470664676468</c:v>
                </c:pt>
                <c:pt idx="60">
                  <c:v>8590.5409551850171</c:v>
                </c:pt>
                <c:pt idx="61">
                  <c:v>-6452.0642234942643</c:v>
                </c:pt>
                <c:pt idx="62">
                  <c:v>-2794.7970847721153</c:v>
                </c:pt>
                <c:pt idx="63">
                  <c:v>7084.4721153235587</c:v>
                </c:pt>
                <c:pt idx="64">
                  <c:v>13233.012645935465</c:v>
                </c:pt>
                <c:pt idx="65">
                  <c:v>-3666.1447589060699</c:v>
                </c:pt>
                <c:pt idx="66">
                  <c:v>547.85100155457621</c:v>
                </c:pt>
                <c:pt idx="67">
                  <c:v>-8071.0783065362193</c:v>
                </c:pt>
                <c:pt idx="68">
                  <c:v>1683.2847490484128</c:v>
                </c:pt>
                <c:pt idx="69">
                  <c:v>12863.807798018534</c:v>
                </c:pt>
                <c:pt idx="70">
                  <c:v>-6983.6150083016546</c:v>
                </c:pt>
                <c:pt idx="71">
                  <c:v>-2769.2244832431898</c:v>
                </c:pt>
                <c:pt idx="72">
                  <c:v>-6734.2003466936003</c:v>
                </c:pt>
                <c:pt idx="73">
                  <c:v>1691.4573356467154</c:v>
                </c:pt>
                <c:pt idx="74">
                  <c:v>-4370.7429585972568</c:v>
                </c:pt>
                <c:pt idx="75">
                  <c:v>1724.242919857963</c:v>
                </c:pt>
                <c:pt idx="76">
                  <c:v>-819.76888120430522</c:v>
                </c:pt>
                <c:pt idx="77">
                  <c:v>-10601.850228005525</c:v>
                </c:pt>
                <c:pt idx="78">
                  <c:v>8603.2479234059865</c:v>
                </c:pt>
                <c:pt idx="79">
                  <c:v>-2336.1021279332926</c:v>
                </c:pt>
                <c:pt idx="80">
                  <c:v>-396.5615406234283</c:v>
                </c:pt>
                <c:pt idx="81">
                  <c:v>1052.1175096320512</c:v>
                </c:pt>
                <c:pt idx="82">
                  <c:v>7689.9659668437671</c:v>
                </c:pt>
                <c:pt idx="83">
                  <c:v>1108.1114468909509</c:v>
                </c:pt>
                <c:pt idx="84">
                  <c:v>-5141.9049373944872</c:v>
                </c:pt>
                <c:pt idx="85">
                  <c:v>-5469.1655064629158</c:v>
                </c:pt>
                <c:pt idx="86">
                  <c:v>-439.67090059087786</c:v>
                </c:pt>
                <c:pt idx="87">
                  <c:v>-1387.1734693865001</c:v>
                </c:pt>
                <c:pt idx="88">
                  <c:v>-2752.6599398137623</c:v>
                </c:pt>
                <c:pt idx="89">
                  <c:v>-4429.0972591078025</c:v>
                </c:pt>
                <c:pt idx="90">
                  <c:v>-4646.8540472698223</c:v>
                </c:pt>
                <c:pt idx="91">
                  <c:v>-1221.365342243691</c:v>
                </c:pt>
                <c:pt idx="92">
                  <c:v>11300.487860036577</c:v>
                </c:pt>
                <c:pt idx="93">
                  <c:v>3732.2419087747257</c:v>
                </c:pt>
                <c:pt idx="94">
                  <c:v>7569.507394778484</c:v>
                </c:pt>
                <c:pt idx="95">
                  <c:v>-5056.213655805157</c:v>
                </c:pt>
                <c:pt idx="96">
                  <c:v>-7177.7434281332535</c:v>
                </c:pt>
                <c:pt idx="97">
                  <c:v>-725.92494879467995</c:v>
                </c:pt>
                <c:pt idx="98">
                  <c:v>362.75231537845684</c:v>
                </c:pt>
                <c:pt idx="99">
                  <c:v>4573.3271796480403</c:v>
                </c:pt>
                <c:pt idx="100">
                  <c:v>9363.6781382568006</c:v>
                </c:pt>
                <c:pt idx="101">
                  <c:v>-6168.6383141730912</c:v>
                </c:pt>
                <c:pt idx="102">
                  <c:v>-10977.099187796644</c:v>
                </c:pt>
                <c:pt idx="103">
                  <c:v>1319.0714130752021</c:v>
                </c:pt>
                <c:pt idx="104">
                  <c:v>1453.1300269078929</c:v>
                </c:pt>
                <c:pt idx="105">
                  <c:v>4236.0500829835364</c:v>
                </c:pt>
                <c:pt idx="106">
                  <c:v>-6259.3901286769251</c:v>
                </c:pt>
                <c:pt idx="107">
                  <c:v>-4861.2061132064118</c:v>
                </c:pt>
                <c:pt idx="108">
                  <c:v>-4233.1083913871698</c:v>
                </c:pt>
                <c:pt idx="109">
                  <c:v>1243.7964547401061</c:v>
                </c:pt>
                <c:pt idx="110">
                  <c:v>-9540.3282111056033</c:v>
                </c:pt>
                <c:pt idx="111">
                  <c:v>1745.5281327282719</c:v>
                </c:pt>
                <c:pt idx="112">
                  <c:v>1715.1659363281797</c:v>
                </c:pt>
                <c:pt idx="113">
                  <c:v>-2876.8794347477669</c:v>
                </c:pt>
                <c:pt idx="114">
                  <c:v>6385.8533887065714</c:v>
                </c:pt>
                <c:pt idx="115">
                  <c:v>7704.8034154833003</c:v>
                </c:pt>
                <c:pt idx="116">
                  <c:v>3013.6524070950982</c:v>
                </c:pt>
                <c:pt idx="117">
                  <c:v>-6226.3954466732393</c:v>
                </c:pt>
                <c:pt idx="118">
                  <c:v>2372.8527773008682</c:v>
                </c:pt>
                <c:pt idx="119">
                  <c:v>-810.26212061467231</c:v>
                </c:pt>
                <c:pt idx="120">
                  <c:v>4810.6219975094718</c:v>
                </c:pt>
                <c:pt idx="121">
                  <c:v>-3308.8672707875958</c:v>
                </c:pt>
                <c:pt idx="122">
                  <c:v>3129.603837452858</c:v>
                </c:pt>
                <c:pt idx="123">
                  <c:v>7077.9624531249574</c:v>
                </c:pt>
                <c:pt idx="124">
                  <c:v>2200.3870637227083</c:v>
                </c:pt>
                <c:pt idx="125">
                  <c:v>1723.3766761881125</c:v>
                </c:pt>
                <c:pt idx="126">
                  <c:v>-6274.0728929994802</c:v>
                </c:pt>
                <c:pt idx="127">
                  <c:v>958.34740243671695</c:v>
                </c:pt>
                <c:pt idx="128">
                  <c:v>-2852.3559279937472</c:v>
                </c:pt>
                <c:pt idx="129">
                  <c:v>2079.5616171730071</c:v>
                </c:pt>
                <c:pt idx="130">
                  <c:v>7889.6141967958247</c:v>
                </c:pt>
                <c:pt idx="131">
                  <c:v>3914.3558901284414</c:v>
                </c:pt>
                <c:pt idx="132">
                  <c:v>-30.502143178659026</c:v>
                </c:pt>
                <c:pt idx="133">
                  <c:v>1393.4187053870992</c:v>
                </c:pt>
                <c:pt idx="134">
                  <c:v>3037.0095814123633</c:v>
                </c:pt>
                <c:pt idx="135">
                  <c:v>-1376.1764194697898</c:v>
                </c:pt>
                <c:pt idx="136">
                  <c:v>964.4514921780501</c:v>
                </c:pt>
                <c:pt idx="137">
                  <c:v>5453.9821215455595</c:v>
                </c:pt>
                <c:pt idx="138">
                  <c:v>-3018.7560773072182</c:v>
                </c:pt>
                <c:pt idx="139">
                  <c:v>-12364.509342458157</c:v>
                </c:pt>
                <c:pt idx="140">
                  <c:v>5511.7668091133237</c:v>
                </c:pt>
                <c:pt idx="141">
                  <c:v>-950.51423154151416</c:v>
                </c:pt>
                <c:pt idx="142">
                  <c:v>7340.1629669810063</c:v>
                </c:pt>
                <c:pt idx="143">
                  <c:v>-1544.9194496890705</c:v>
                </c:pt>
                <c:pt idx="144">
                  <c:v>-9160.3333575996803</c:v>
                </c:pt>
                <c:pt idx="145">
                  <c:v>6185.5754039618041</c:v>
                </c:pt>
                <c:pt idx="146">
                  <c:v>-3703.1300269994244</c:v>
                </c:pt>
                <c:pt idx="147">
                  <c:v>-2121.2227648741682</c:v>
                </c:pt>
              </c:numCache>
            </c:numRef>
          </c:yVal>
          <c:smooth val="0"/>
          <c:extLst>
            <c:ext xmlns:c16="http://schemas.microsoft.com/office/drawing/2014/chart" uri="{C3380CC4-5D6E-409C-BE32-E72D297353CC}">
              <c16:uniqueId val="{00000003-6B4F-4A09-8C63-6C750FB7B469}"/>
            </c:ext>
          </c:extLst>
        </c:ser>
        <c:dLbls>
          <c:showLegendKey val="0"/>
          <c:showVal val="0"/>
          <c:showCatName val="0"/>
          <c:showSerName val="0"/>
          <c:showPercent val="0"/>
          <c:showBubbleSize val="0"/>
        </c:dLbls>
        <c:axId val="1291096015"/>
        <c:axId val="1291096495"/>
      </c:scatterChart>
      <c:valAx>
        <c:axId val="1291096015"/>
        <c:scaling>
          <c:orientation val="minMax"/>
        </c:scaling>
        <c:delete val="0"/>
        <c:axPos val="b"/>
        <c:title>
          <c:tx>
            <c:rich>
              <a:bodyPr/>
              <a:lstStyle/>
              <a:p>
                <a:pPr>
                  <a:defRPr/>
                </a:pPr>
                <a:r>
                  <a:rPr lang="en-US"/>
                  <a:t>X Variable 1</a:t>
                </a:r>
              </a:p>
            </c:rich>
          </c:tx>
          <c:overlay val="0"/>
        </c:title>
        <c:numFmt formatCode="#,##0;[Red]#,##0" sourceLinked="1"/>
        <c:majorTickMark val="out"/>
        <c:minorTickMark val="none"/>
        <c:tickLblPos val="nextTo"/>
        <c:crossAx val="1291096495"/>
        <c:crosses val="autoZero"/>
        <c:crossBetween val="midCat"/>
      </c:valAx>
      <c:valAx>
        <c:axId val="1291096495"/>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29109601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square</a:t>
            </a:r>
            <a:r>
              <a:rPr lang="en-US" baseline="0"/>
              <a:t> feet</a:t>
            </a:r>
            <a:r>
              <a:rPr lang="en-US"/>
              <a:t> 2  Residual Plot</a:t>
            </a:r>
          </a:p>
        </c:rich>
      </c:tx>
      <c:overlay val="0"/>
    </c:title>
    <c:autoTitleDeleted val="0"/>
    <c:plotArea>
      <c:layout/>
      <c:scatterChart>
        <c:scatterStyle val="lineMarker"/>
        <c:varyColors val="0"/>
        <c:ser>
          <c:idx val="0"/>
          <c:order val="0"/>
          <c:spPr>
            <a:ln w="19050">
              <a:noFill/>
            </a:ln>
          </c:spPr>
          <c:xVal>
            <c:numRef>
              <c:f>'Q1'!$D$2:$D$149</c:f>
              <c:numCache>
                <c:formatCode>0</c:formatCode>
                <c:ptCount val="148"/>
                <c:pt idx="0">
                  <c:v>2050</c:v>
                </c:pt>
                <c:pt idx="1">
                  <c:v>2200</c:v>
                </c:pt>
                <c:pt idx="2">
                  <c:v>1590</c:v>
                </c:pt>
                <c:pt idx="3">
                  <c:v>1860.0000000000002</c:v>
                </c:pt>
                <c:pt idx="4">
                  <c:v>1210</c:v>
                </c:pt>
                <c:pt idx="5">
                  <c:v>1710.0000000000002</c:v>
                </c:pt>
                <c:pt idx="6">
                  <c:v>1670</c:v>
                </c:pt>
                <c:pt idx="7">
                  <c:v>1780</c:v>
                </c:pt>
                <c:pt idx="8">
                  <c:v>1520</c:v>
                </c:pt>
                <c:pt idx="9">
                  <c:v>1830</c:v>
                </c:pt>
                <c:pt idx="10">
                  <c:v>1700</c:v>
                </c:pt>
                <c:pt idx="11">
                  <c:v>1720</c:v>
                </c:pt>
                <c:pt idx="12">
                  <c:v>1670</c:v>
                </c:pt>
                <c:pt idx="13">
                  <c:v>1650</c:v>
                </c:pt>
                <c:pt idx="14">
                  <c:v>1610.0000000000002</c:v>
                </c:pt>
                <c:pt idx="15">
                  <c:v>1570</c:v>
                </c:pt>
                <c:pt idx="16">
                  <c:v>1650</c:v>
                </c:pt>
                <c:pt idx="17">
                  <c:v>1639.9999999999998</c:v>
                </c:pt>
                <c:pt idx="18">
                  <c:v>1420</c:v>
                </c:pt>
                <c:pt idx="19">
                  <c:v>2070</c:v>
                </c:pt>
                <c:pt idx="20">
                  <c:v>1610.0000000000002</c:v>
                </c:pt>
                <c:pt idx="21">
                  <c:v>1910.0000000000002</c:v>
                </c:pt>
                <c:pt idx="22">
                  <c:v>1410</c:v>
                </c:pt>
                <c:pt idx="23">
                  <c:v>1860.0000000000002</c:v>
                </c:pt>
                <c:pt idx="24">
                  <c:v>1989.9999999999998</c:v>
                </c:pt>
                <c:pt idx="25">
                  <c:v>2270</c:v>
                </c:pt>
                <c:pt idx="26">
                  <c:v>1964.9999999999998</c:v>
                </c:pt>
                <c:pt idx="27">
                  <c:v>1820</c:v>
                </c:pt>
                <c:pt idx="28">
                  <c:v>1650</c:v>
                </c:pt>
                <c:pt idx="29">
                  <c:v>1470</c:v>
                </c:pt>
                <c:pt idx="30">
                  <c:v>1850</c:v>
                </c:pt>
                <c:pt idx="31">
                  <c:v>2170</c:v>
                </c:pt>
                <c:pt idx="32">
                  <c:v>1930</c:v>
                </c:pt>
                <c:pt idx="33">
                  <c:v>1380</c:v>
                </c:pt>
                <c:pt idx="34">
                  <c:v>1810.0000000000002</c:v>
                </c:pt>
                <c:pt idx="35">
                  <c:v>1760.0000000000002</c:v>
                </c:pt>
                <c:pt idx="36">
                  <c:v>1530</c:v>
                </c:pt>
                <c:pt idx="37">
                  <c:v>1700</c:v>
                </c:pt>
                <c:pt idx="38">
                  <c:v>1980</c:v>
                </c:pt>
                <c:pt idx="39">
                  <c:v>1590</c:v>
                </c:pt>
                <c:pt idx="40">
                  <c:v>1739.9999999999998</c:v>
                </c:pt>
                <c:pt idx="41">
                  <c:v>1730</c:v>
                </c:pt>
                <c:pt idx="42">
                  <c:v>2100</c:v>
                </c:pt>
                <c:pt idx="43">
                  <c:v>2039.9999999999998</c:v>
                </c:pt>
                <c:pt idx="44">
                  <c:v>1730</c:v>
                </c:pt>
                <c:pt idx="45">
                  <c:v>1680</c:v>
                </c:pt>
                <c:pt idx="46">
                  <c:v>2050</c:v>
                </c:pt>
                <c:pt idx="47">
                  <c:v>1750</c:v>
                </c:pt>
                <c:pt idx="48">
                  <c:v>1870</c:v>
                </c:pt>
                <c:pt idx="49">
                  <c:v>1330</c:v>
                </c:pt>
                <c:pt idx="50">
                  <c:v>1700</c:v>
                </c:pt>
                <c:pt idx="51">
                  <c:v>1460</c:v>
                </c:pt>
                <c:pt idx="52">
                  <c:v>1910.0000000000002</c:v>
                </c:pt>
                <c:pt idx="53">
                  <c:v>1610.0000000000002</c:v>
                </c:pt>
                <c:pt idx="54">
                  <c:v>1470</c:v>
                </c:pt>
                <c:pt idx="55">
                  <c:v>1810.0000000000002</c:v>
                </c:pt>
                <c:pt idx="56">
                  <c:v>1650</c:v>
                </c:pt>
                <c:pt idx="57">
                  <c:v>1520</c:v>
                </c:pt>
                <c:pt idx="58">
                  <c:v>1920</c:v>
                </c:pt>
                <c:pt idx="59">
                  <c:v>1410</c:v>
                </c:pt>
                <c:pt idx="60">
                  <c:v>2030</c:v>
                </c:pt>
                <c:pt idx="61">
                  <c:v>1950</c:v>
                </c:pt>
                <c:pt idx="62">
                  <c:v>1340</c:v>
                </c:pt>
                <c:pt idx="63">
                  <c:v>1850</c:v>
                </c:pt>
                <c:pt idx="64">
                  <c:v>1780</c:v>
                </c:pt>
                <c:pt idx="65">
                  <c:v>1440</c:v>
                </c:pt>
                <c:pt idx="66">
                  <c:v>2039.9999999999998</c:v>
                </c:pt>
                <c:pt idx="67">
                  <c:v>2160</c:v>
                </c:pt>
                <c:pt idx="68">
                  <c:v>2170</c:v>
                </c:pt>
                <c:pt idx="69">
                  <c:v>1710.0000000000002</c:v>
                </c:pt>
                <c:pt idx="70">
                  <c:v>1639.9999999999998</c:v>
                </c:pt>
                <c:pt idx="71">
                  <c:v>1380</c:v>
                </c:pt>
                <c:pt idx="72">
                  <c:v>2100</c:v>
                </c:pt>
                <c:pt idx="73">
                  <c:v>1610.0000000000002</c:v>
                </c:pt>
                <c:pt idx="74">
                  <c:v>1950</c:v>
                </c:pt>
                <c:pt idx="75">
                  <c:v>2080</c:v>
                </c:pt>
                <c:pt idx="76">
                  <c:v>1960.0000000000002</c:v>
                </c:pt>
                <c:pt idx="77">
                  <c:v>1920</c:v>
                </c:pt>
                <c:pt idx="78">
                  <c:v>1920</c:v>
                </c:pt>
                <c:pt idx="79">
                  <c:v>1490</c:v>
                </c:pt>
                <c:pt idx="80">
                  <c:v>1600</c:v>
                </c:pt>
                <c:pt idx="81">
                  <c:v>1650</c:v>
                </c:pt>
                <c:pt idx="82">
                  <c:v>1889.9999999999998</c:v>
                </c:pt>
                <c:pt idx="83">
                  <c:v>1620</c:v>
                </c:pt>
                <c:pt idx="84">
                  <c:v>1820</c:v>
                </c:pt>
                <c:pt idx="85">
                  <c:v>1750</c:v>
                </c:pt>
                <c:pt idx="86">
                  <c:v>1460</c:v>
                </c:pt>
                <c:pt idx="87">
                  <c:v>1530</c:v>
                </c:pt>
                <c:pt idx="88">
                  <c:v>1540</c:v>
                </c:pt>
                <c:pt idx="89">
                  <c:v>1950</c:v>
                </c:pt>
                <c:pt idx="90">
                  <c:v>1480</c:v>
                </c:pt>
                <c:pt idx="91">
                  <c:v>2050</c:v>
                </c:pt>
                <c:pt idx="92">
                  <c:v>1660.0000000000002</c:v>
                </c:pt>
                <c:pt idx="93">
                  <c:v>1540</c:v>
                </c:pt>
                <c:pt idx="94">
                  <c:v>1720</c:v>
                </c:pt>
                <c:pt idx="95">
                  <c:v>1400</c:v>
                </c:pt>
                <c:pt idx="96">
                  <c:v>1578</c:v>
                </c:pt>
                <c:pt idx="97">
                  <c:v>1700</c:v>
                </c:pt>
                <c:pt idx="98">
                  <c:v>1880</c:v>
                </c:pt>
                <c:pt idx="99">
                  <c:v>1850</c:v>
                </c:pt>
                <c:pt idx="100">
                  <c:v>1430</c:v>
                </c:pt>
                <c:pt idx="101">
                  <c:v>1390</c:v>
                </c:pt>
                <c:pt idx="102">
                  <c:v>2130</c:v>
                </c:pt>
                <c:pt idx="103">
                  <c:v>1889.9999999999998</c:v>
                </c:pt>
                <c:pt idx="104">
                  <c:v>1639.9999999999998</c:v>
                </c:pt>
                <c:pt idx="105">
                  <c:v>2070</c:v>
                </c:pt>
                <c:pt idx="106">
                  <c:v>1810.0000000000002</c:v>
                </c:pt>
                <c:pt idx="107">
                  <c:v>1460</c:v>
                </c:pt>
                <c:pt idx="108">
                  <c:v>1410</c:v>
                </c:pt>
                <c:pt idx="109">
                  <c:v>2190</c:v>
                </c:pt>
                <c:pt idx="110">
                  <c:v>1580</c:v>
                </c:pt>
                <c:pt idx="111">
                  <c:v>1839.9999999999998</c:v>
                </c:pt>
                <c:pt idx="112">
                  <c:v>1930</c:v>
                </c:pt>
                <c:pt idx="113">
                  <c:v>1930</c:v>
                </c:pt>
                <c:pt idx="114">
                  <c:v>1820</c:v>
                </c:pt>
                <c:pt idx="115">
                  <c:v>1480</c:v>
                </c:pt>
                <c:pt idx="116">
                  <c:v>1600</c:v>
                </c:pt>
                <c:pt idx="117">
                  <c:v>1880</c:v>
                </c:pt>
                <c:pt idx="118">
                  <c:v>1780</c:v>
                </c:pt>
                <c:pt idx="119">
                  <c:v>1920</c:v>
                </c:pt>
                <c:pt idx="120">
                  <c:v>1830</c:v>
                </c:pt>
                <c:pt idx="121">
                  <c:v>1470</c:v>
                </c:pt>
                <c:pt idx="122">
                  <c:v>1689.9999999999998</c:v>
                </c:pt>
                <c:pt idx="123">
                  <c:v>1930</c:v>
                </c:pt>
                <c:pt idx="124">
                  <c:v>1970</c:v>
                </c:pt>
                <c:pt idx="125">
                  <c:v>1530</c:v>
                </c:pt>
                <c:pt idx="126">
                  <c:v>2030</c:v>
                </c:pt>
                <c:pt idx="127">
                  <c:v>1830</c:v>
                </c:pt>
                <c:pt idx="128">
                  <c:v>2070</c:v>
                </c:pt>
                <c:pt idx="129">
                  <c:v>1630</c:v>
                </c:pt>
                <c:pt idx="130">
                  <c:v>1580</c:v>
                </c:pt>
                <c:pt idx="131">
                  <c:v>1760.0000000000002</c:v>
                </c:pt>
                <c:pt idx="132">
                  <c:v>1810.0000000000002</c:v>
                </c:pt>
                <c:pt idx="133">
                  <c:v>1710.0000000000002</c:v>
                </c:pt>
                <c:pt idx="134">
                  <c:v>1889.9999999999998</c:v>
                </c:pt>
                <c:pt idx="135">
                  <c:v>1639.9999999999998</c:v>
                </c:pt>
                <c:pt idx="136">
                  <c:v>2010.0000000000002</c:v>
                </c:pt>
                <c:pt idx="137">
                  <c:v>1730</c:v>
                </c:pt>
                <c:pt idx="138">
                  <c:v>1770</c:v>
                </c:pt>
                <c:pt idx="139">
                  <c:v>1750</c:v>
                </c:pt>
                <c:pt idx="140">
                  <c:v>1660.0000000000002</c:v>
                </c:pt>
                <c:pt idx="141">
                  <c:v>2510</c:v>
                </c:pt>
                <c:pt idx="142">
                  <c:v>1700</c:v>
                </c:pt>
                <c:pt idx="143">
                  <c:v>1660.0000000000002</c:v>
                </c:pt>
                <c:pt idx="144">
                  <c:v>2110</c:v>
                </c:pt>
                <c:pt idx="145">
                  <c:v>1430</c:v>
                </c:pt>
                <c:pt idx="146">
                  <c:v>1710.0000000000002</c:v>
                </c:pt>
                <c:pt idx="147">
                  <c:v>1580</c:v>
                </c:pt>
              </c:numCache>
            </c:numRef>
          </c:xVal>
          <c:yVal>
            <c:numRef>
              <c:f>'Regression Q1 A'!$C$26:$C$173</c:f>
              <c:numCache>
                <c:formatCode>General</c:formatCode>
                <c:ptCount val="148"/>
                <c:pt idx="0">
                  <c:v>-8807.5766924655472</c:v>
                </c:pt>
                <c:pt idx="1">
                  <c:v>-3675.0848755106854</c:v>
                </c:pt>
                <c:pt idx="2">
                  <c:v>-5505.1117332640715</c:v>
                </c:pt>
                <c:pt idx="3">
                  <c:v>6678.7564208994736</c:v>
                </c:pt>
                <c:pt idx="4">
                  <c:v>-1167.8081318222394</c:v>
                </c:pt>
                <c:pt idx="5">
                  <c:v>4098.9318046634144</c:v>
                </c:pt>
                <c:pt idx="6">
                  <c:v>-9594.0029643946909</c:v>
                </c:pt>
                <c:pt idx="7">
                  <c:v>-5619.6357654904132</c:v>
                </c:pt>
                <c:pt idx="8">
                  <c:v>-1811.8562622402678</c:v>
                </c:pt>
                <c:pt idx="9">
                  <c:v>12695.352214199695</c:v>
                </c:pt>
                <c:pt idx="10">
                  <c:v>9540.7424808036303</c:v>
                </c:pt>
                <c:pt idx="11">
                  <c:v>7534.2646510106861</c:v>
                </c:pt>
                <c:pt idx="12">
                  <c:v>-12063.256515997084</c:v>
                </c:pt>
                <c:pt idx="13">
                  <c:v>11359.155242568842</c:v>
                </c:pt>
                <c:pt idx="14">
                  <c:v>2597.6263700482668</c:v>
                </c:pt>
                <c:pt idx="15">
                  <c:v>5240.8864906250965</c:v>
                </c:pt>
                <c:pt idx="16">
                  <c:v>-1056.9444364705269</c:v>
                </c:pt>
                <c:pt idx="17">
                  <c:v>-23.784271582728252</c:v>
                </c:pt>
                <c:pt idx="18">
                  <c:v>-7820.1888508371194</c:v>
                </c:pt>
                <c:pt idx="19">
                  <c:v>-6601.5636507612071</c:v>
                </c:pt>
                <c:pt idx="20">
                  <c:v>11299.134543121851</c:v>
                </c:pt>
                <c:pt idx="21">
                  <c:v>-8664.3653996458161</c:v>
                </c:pt>
                <c:pt idx="22">
                  <c:v>-5124.1792743772239</c:v>
                </c:pt>
                <c:pt idx="23">
                  <c:v>-6650.8662497327896</c:v>
                </c:pt>
                <c:pt idx="24">
                  <c:v>7583.1569039002643</c:v>
                </c:pt>
                <c:pt idx="25">
                  <c:v>-2121.8139563666773</c:v>
                </c:pt>
                <c:pt idx="26">
                  <c:v>527.27336366480449</c:v>
                </c:pt>
                <c:pt idx="27">
                  <c:v>9985.1809929943993</c:v>
                </c:pt>
                <c:pt idx="28">
                  <c:v>-1763.0064970128296</c:v>
                </c:pt>
                <c:pt idx="29">
                  <c:v>-1773.3800267446786</c:v>
                </c:pt>
                <c:pt idx="30">
                  <c:v>5567.7435407009034</c:v>
                </c:pt>
                <c:pt idx="31">
                  <c:v>-6964.1526554748998</c:v>
                </c:pt>
                <c:pt idx="32">
                  <c:v>-3423.8760361728491</c:v>
                </c:pt>
                <c:pt idx="33">
                  <c:v>3451.3350569778995</c:v>
                </c:pt>
                <c:pt idx="34">
                  <c:v>6468.4363684777636</c:v>
                </c:pt>
                <c:pt idx="35">
                  <c:v>-767.24279621746973</c:v>
                </c:pt>
                <c:pt idx="36">
                  <c:v>-5492.8476216059935</c:v>
                </c:pt>
                <c:pt idx="37">
                  <c:v>10645.272881656187</c:v>
                </c:pt>
                <c:pt idx="38">
                  <c:v>10485.096896118455</c:v>
                </c:pt>
                <c:pt idx="39">
                  <c:v>-432.12830829070299</c:v>
                </c:pt>
                <c:pt idx="40">
                  <c:v>3171.5954445973912</c:v>
                </c:pt>
                <c:pt idx="41">
                  <c:v>748.39496958380914</c:v>
                </c:pt>
                <c:pt idx="42">
                  <c:v>2353.5556107902376</c:v>
                </c:pt>
                <c:pt idx="43">
                  <c:v>5424.0835096865485</c:v>
                </c:pt>
                <c:pt idx="44">
                  <c:v>-9796.709063459537</c:v>
                </c:pt>
                <c:pt idx="45">
                  <c:v>7441.7236719072098</c:v>
                </c:pt>
                <c:pt idx="46">
                  <c:v>5153.5141641260707</c:v>
                </c:pt>
                <c:pt idx="47">
                  <c:v>-5683.9815391022712</c:v>
                </c:pt>
                <c:pt idx="48">
                  <c:v>3862.8432393437542</c:v>
                </c:pt>
                <c:pt idx="49">
                  <c:v>5984.8894702834659</c:v>
                </c:pt>
                <c:pt idx="50">
                  <c:v>-4084.9410660623398</c:v>
                </c:pt>
                <c:pt idx="51">
                  <c:v>1131.9583383116551</c:v>
                </c:pt>
                <c:pt idx="52">
                  <c:v>7897.2003655263106</c:v>
                </c:pt>
                <c:pt idx="53">
                  <c:v>-578.72957252984634</c:v>
                </c:pt>
                <c:pt idx="54">
                  <c:v>5071.1868082963338</c:v>
                </c:pt>
                <c:pt idx="55">
                  <c:v>3473.6203358384082</c:v>
                </c:pt>
                <c:pt idx="56">
                  <c:v>-48481.307902748056</c:v>
                </c:pt>
                <c:pt idx="57">
                  <c:v>-6687.1095849631529</c:v>
                </c:pt>
                <c:pt idx="58">
                  <c:v>63.450107860844582</c:v>
                </c:pt>
                <c:pt idx="59">
                  <c:v>169.470664676468</c:v>
                </c:pt>
                <c:pt idx="60">
                  <c:v>8590.5409551850171</c:v>
                </c:pt>
                <c:pt idx="61">
                  <c:v>-6452.0642234942643</c:v>
                </c:pt>
                <c:pt idx="62">
                  <c:v>-2794.7970847721153</c:v>
                </c:pt>
                <c:pt idx="63">
                  <c:v>7084.4721153235587</c:v>
                </c:pt>
                <c:pt idx="64">
                  <c:v>13233.012645935465</c:v>
                </c:pt>
                <c:pt idx="65">
                  <c:v>-3666.1447589060699</c:v>
                </c:pt>
                <c:pt idx="66">
                  <c:v>547.85100155457621</c:v>
                </c:pt>
                <c:pt idx="67">
                  <c:v>-8071.0783065362193</c:v>
                </c:pt>
                <c:pt idx="68">
                  <c:v>1683.2847490484128</c:v>
                </c:pt>
                <c:pt idx="69">
                  <c:v>12863.807798018534</c:v>
                </c:pt>
                <c:pt idx="70">
                  <c:v>-6983.6150083016546</c:v>
                </c:pt>
                <c:pt idx="71">
                  <c:v>-2769.2244832431898</c:v>
                </c:pt>
                <c:pt idx="72">
                  <c:v>-6734.2003466936003</c:v>
                </c:pt>
                <c:pt idx="73">
                  <c:v>1691.4573356467154</c:v>
                </c:pt>
                <c:pt idx="74">
                  <c:v>-4370.7429585972568</c:v>
                </c:pt>
                <c:pt idx="75">
                  <c:v>1724.242919857963</c:v>
                </c:pt>
                <c:pt idx="76">
                  <c:v>-819.76888120430522</c:v>
                </c:pt>
                <c:pt idx="77">
                  <c:v>-10601.850228005525</c:v>
                </c:pt>
                <c:pt idx="78">
                  <c:v>8603.2479234059865</c:v>
                </c:pt>
                <c:pt idx="79">
                  <c:v>-2336.1021279332926</c:v>
                </c:pt>
                <c:pt idx="80">
                  <c:v>-396.5615406234283</c:v>
                </c:pt>
                <c:pt idx="81">
                  <c:v>1052.1175096320512</c:v>
                </c:pt>
                <c:pt idx="82">
                  <c:v>7689.9659668437671</c:v>
                </c:pt>
                <c:pt idx="83">
                  <c:v>1108.1114468909509</c:v>
                </c:pt>
                <c:pt idx="84">
                  <c:v>-5141.9049373944872</c:v>
                </c:pt>
                <c:pt idx="85">
                  <c:v>-5469.1655064629158</c:v>
                </c:pt>
                <c:pt idx="86">
                  <c:v>-439.67090059087786</c:v>
                </c:pt>
                <c:pt idx="87">
                  <c:v>-1387.1734693865001</c:v>
                </c:pt>
                <c:pt idx="88">
                  <c:v>-2752.6599398137623</c:v>
                </c:pt>
                <c:pt idx="89">
                  <c:v>-4429.0972591078025</c:v>
                </c:pt>
                <c:pt idx="90">
                  <c:v>-4646.8540472698223</c:v>
                </c:pt>
                <c:pt idx="91">
                  <c:v>-1221.365342243691</c:v>
                </c:pt>
                <c:pt idx="92">
                  <c:v>11300.487860036577</c:v>
                </c:pt>
                <c:pt idx="93">
                  <c:v>3732.2419087747257</c:v>
                </c:pt>
                <c:pt idx="94">
                  <c:v>7569.507394778484</c:v>
                </c:pt>
                <c:pt idx="95">
                  <c:v>-5056.213655805157</c:v>
                </c:pt>
                <c:pt idx="96">
                  <c:v>-7177.7434281332535</c:v>
                </c:pt>
                <c:pt idx="97">
                  <c:v>-725.92494879467995</c:v>
                </c:pt>
                <c:pt idx="98">
                  <c:v>362.75231537845684</c:v>
                </c:pt>
                <c:pt idx="99">
                  <c:v>4573.3271796480403</c:v>
                </c:pt>
                <c:pt idx="100">
                  <c:v>9363.6781382568006</c:v>
                </c:pt>
                <c:pt idx="101">
                  <c:v>-6168.6383141730912</c:v>
                </c:pt>
                <c:pt idx="102">
                  <c:v>-10977.099187796644</c:v>
                </c:pt>
                <c:pt idx="103">
                  <c:v>1319.0714130752021</c:v>
                </c:pt>
                <c:pt idx="104">
                  <c:v>1453.1300269078929</c:v>
                </c:pt>
                <c:pt idx="105">
                  <c:v>4236.0500829835364</c:v>
                </c:pt>
                <c:pt idx="106">
                  <c:v>-6259.3901286769251</c:v>
                </c:pt>
                <c:pt idx="107">
                  <c:v>-4861.2061132064118</c:v>
                </c:pt>
                <c:pt idx="108">
                  <c:v>-4233.1083913871698</c:v>
                </c:pt>
                <c:pt idx="109">
                  <c:v>1243.7964547401061</c:v>
                </c:pt>
                <c:pt idx="110">
                  <c:v>-9540.3282111056033</c:v>
                </c:pt>
                <c:pt idx="111">
                  <c:v>1745.5281327282719</c:v>
                </c:pt>
                <c:pt idx="112">
                  <c:v>1715.1659363281797</c:v>
                </c:pt>
                <c:pt idx="113">
                  <c:v>-2876.8794347477669</c:v>
                </c:pt>
                <c:pt idx="114">
                  <c:v>6385.8533887065714</c:v>
                </c:pt>
                <c:pt idx="115">
                  <c:v>7704.8034154833003</c:v>
                </c:pt>
                <c:pt idx="116">
                  <c:v>3013.6524070950982</c:v>
                </c:pt>
                <c:pt idx="117">
                  <c:v>-6226.3954466732393</c:v>
                </c:pt>
                <c:pt idx="118">
                  <c:v>2372.8527773008682</c:v>
                </c:pt>
                <c:pt idx="119">
                  <c:v>-810.26212061467231</c:v>
                </c:pt>
                <c:pt idx="120">
                  <c:v>4810.6219975094718</c:v>
                </c:pt>
                <c:pt idx="121">
                  <c:v>-3308.8672707875958</c:v>
                </c:pt>
                <c:pt idx="122">
                  <c:v>3129.603837452858</c:v>
                </c:pt>
                <c:pt idx="123">
                  <c:v>7077.9624531249574</c:v>
                </c:pt>
                <c:pt idx="124">
                  <c:v>2200.3870637227083</c:v>
                </c:pt>
                <c:pt idx="125">
                  <c:v>1723.3766761881125</c:v>
                </c:pt>
                <c:pt idx="126">
                  <c:v>-6274.0728929994802</c:v>
                </c:pt>
                <c:pt idx="127">
                  <c:v>958.34740243671695</c:v>
                </c:pt>
                <c:pt idx="128">
                  <c:v>-2852.3559279937472</c:v>
                </c:pt>
                <c:pt idx="129">
                  <c:v>2079.5616171730071</c:v>
                </c:pt>
                <c:pt idx="130">
                  <c:v>7889.6141967958247</c:v>
                </c:pt>
                <c:pt idx="131">
                  <c:v>3914.3558901284414</c:v>
                </c:pt>
                <c:pt idx="132">
                  <c:v>-30.502143178659026</c:v>
                </c:pt>
                <c:pt idx="133">
                  <c:v>1393.4187053870992</c:v>
                </c:pt>
                <c:pt idx="134">
                  <c:v>3037.0095814123633</c:v>
                </c:pt>
                <c:pt idx="135">
                  <c:v>-1376.1764194697898</c:v>
                </c:pt>
                <c:pt idx="136">
                  <c:v>964.4514921780501</c:v>
                </c:pt>
                <c:pt idx="137">
                  <c:v>5453.9821215455595</c:v>
                </c:pt>
                <c:pt idx="138">
                  <c:v>-3018.7560773072182</c:v>
                </c:pt>
                <c:pt idx="139">
                  <c:v>-12364.509342458157</c:v>
                </c:pt>
                <c:pt idx="140">
                  <c:v>5511.7668091133237</c:v>
                </c:pt>
                <c:pt idx="141">
                  <c:v>-950.51423154151416</c:v>
                </c:pt>
                <c:pt idx="142">
                  <c:v>7340.1629669810063</c:v>
                </c:pt>
                <c:pt idx="143">
                  <c:v>-1544.9194496890705</c:v>
                </c:pt>
                <c:pt idx="144">
                  <c:v>-9160.3333575996803</c:v>
                </c:pt>
                <c:pt idx="145">
                  <c:v>6185.5754039618041</c:v>
                </c:pt>
                <c:pt idx="146">
                  <c:v>-3703.1300269994244</c:v>
                </c:pt>
                <c:pt idx="147">
                  <c:v>-2121.2227648741682</c:v>
                </c:pt>
              </c:numCache>
            </c:numRef>
          </c:yVal>
          <c:smooth val="0"/>
          <c:extLst>
            <c:ext xmlns:c16="http://schemas.microsoft.com/office/drawing/2014/chart" uri="{C3380CC4-5D6E-409C-BE32-E72D297353CC}">
              <c16:uniqueId val="{00000003-907A-420E-95B1-CBE32E684761}"/>
            </c:ext>
          </c:extLst>
        </c:ser>
        <c:dLbls>
          <c:showLegendKey val="0"/>
          <c:showVal val="0"/>
          <c:showCatName val="0"/>
          <c:showSerName val="0"/>
          <c:showPercent val="0"/>
          <c:showBubbleSize val="0"/>
        </c:dLbls>
        <c:axId val="1585788032"/>
        <c:axId val="1743263776"/>
      </c:scatterChart>
      <c:valAx>
        <c:axId val="1585788032"/>
        <c:scaling>
          <c:orientation val="minMax"/>
        </c:scaling>
        <c:delete val="0"/>
        <c:axPos val="b"/>
        <c:title>
          <c:tx>
            <c:rich>
              <a:bodyPr/>
              <a:lstStyle/>
              <a:p>
                <a:pPr>
                  <a:defRPr/>
                </a:pPr>
                <a:r>
                  <a:rPr lang="en-US"/>
                  <a:t>X Variable 2</a:t>
                </a:r>
              </a:p>
            </c:rich>
          </c:tx>
          <c:overlay val="0"/>
        </c:title>
        <c:numFmt formatCode="0" sourceLinked="1"/>
        <c:majorTickMark val="out"/>
        <c:minorTickMark val="none"/>
        <c:tickLblPos val="nextTo"/>
        <c:crossAx val="1743263776"/>
        <c:crosses val="autoZero"/>
        <c:crossBetween val="midCat"/>
      </c:valAx>
      <c:valAx>
        <c:axId val="174326377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585788032"/>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'Regression Q1 A'!$E$26:$E$173</c:f>
              <c:numCache>
                <c:formatCode>General</c:formatCode>
                <c:ptCount val="148"/>
                <c:pt idx="0">
                  <c:v>0.33783783783783783</c:v>
                </c:pt>
                <c:pt idx="1">
                  <c:v>1.0135135135135136</c:v>
                </c:pt>
                <c:pt idx="2">
                  <c:v>1.689189189189189</c:v>
                </c:pt>
                <c:pt idx="3">
                  <c:v>2.3648648648648649</c:v>
                </c:pt>
                <c:pt idx="4">
                  <c:v>3.0405405405405403</c:v>
                </c:pt>
                <c:pt idx="5">
                  <c:v>3.7162162162162158</c:v>
                </c:pt>
                <c:pt idx="6">
                  <c:v>4.3918918918918921</c:v>
                </c:pt>
                <c:pt idx="7">
                  <c:v>5.0675675675675675</c:v>
                </c:pt>
                <c:pt idx="8">
                  <c:v>5.743243243243243</c:v>
                </c:pt>
                <c:pt idx="9">
                  <c:v>6.4189189189189184</c:v>
                </c:pt>
                <c:pt idx="10">
                  <c:v>7.0945945945945939</c:v>
                </c:pt>
                <c:pt idx="11">
                  <c:v>7.7702702702702702</c:v>
                </c:pt>
                <c:pt idx="12">
                  <c:v>8.4459459459459474</c:v>
                </c:pt>
                <c:pt idx="13">
                  <c:v>9.1216216216216228</c:v>
                </c:pt>
                <c:pt idx="14">
                  <c:v>9.7972972972972983</c:v>
                </c:pt>
                <c:pt idx="15">
                  <c:v>10.472972972972974</c:v>
                </c:pt>
                <c:pt idx="16">
                  <c:v>11.148648648648649</c:v>
                </c:pt>
                <c:pt idx="17">
                  <c:v>11.824324324324325</c:v>
                </c:pt>
                <c:pt idx="18">
                  <c:v>12.5</c:v>
                </c:pt>
                <c:pt idx="19">
                  <c:v>13.175675675675675</c:v>
                </c:pt>
                <c:pt idx="20">
                  <c:v>13.851351351351351</c:v>
                </c:pt>
                <c:pt idx="21">
                  <c:v>14.527027027027028</c:v>
                </c:pt>
                <c:pt idx="22">
                  <c:v>15.202702702702704</c:v>
                </c:pt>
                <c:pt idx="23">
                  <c:v>15.878378378378379</c:v>
                </c:pt>
                <c:pt idx="24">
                  <c:v>16.554054054054056</c:v>
                </c:pt>
                <c:pt idx="25">
                  <c:v>17.22972972972973</c:v>
                </c:pt>
                <c:pt idx="26">
                  <c:v>17.905405405405407</c:v>
                </c:pt>
                <c:pt idx="27">
                  <c:v>18.581081081081081</c:v>
                </c:pt>
                <c:pt idx="28">
                  <c:v>19.256756756756758</c:v>
                </c:pt>
                <c:pt idx="29">
                  <c:v>19.932432432432432</c:v>
                </c:pt>
                <c:pt idx="30">
                  <c:v>20.608108108108109</c:v>
                </c:pt>
                <c:pt idx="31">
                  <c:v>21.283783783783782</c:v>
                </c:pt>
                <c:pt idx="32">
                  <c:v>21.95945945945946</c:v>
                </c:pt>
                <c:pt idx="33">
                  <c:v>22.635135135135137</c:v>
                </c:pt>
                <c:pt idx="34">
                  <c:v>23.310810810810811</c:v>
                </c:pt>
                <c:pt idx="35">
                  <c:v>23.986486486486488</c:v>
                </c:pt>
                <c:pt idx="36">
                  <c:v>24.662162162162161</c:v>
                </c:pt>
                <c:pt idx="37">
                  <c:v>25.337837837837839</c:v>
                </c:pt>
                <c:pt idx="38">
                  <c:v>26.013513513513512</c:v>
                </c:pt>
                <c:pt idx="39">
                  <c:v>26.689189189189189</c:v>
                </c:pt>
                <c:pt idx="40">
                  <c:v>27.364864864864863</c:v>
                </c:pt>
                <c:pt idx="41">
                  <c:v>28.04054054054054</c:v>
                </c:pt>
                <c:pt idx="42">
                  <c:v>28.716216216216218</c:v>
                </c:pt>
                <c:pt idx="43">
                  <c:v>29.391891891891891</c:v>
                </c:pt>
                <c:pt idx="44">
                  <c:v>30.067567567567568</c:v>
                </c:pt>
                <c:pt idx="45">
                  <c:v>30.743243243243242</c:v>
                </c:pt>
                <c:pt idx="46">
                  <c:v>31.418918918918919</c:v>
                </c:pt>
                <c:pt idx="47">
                  <c:v>32.094594594594589</c:v>
                </c:pt>
                <c:pt idx="48">
                  <c:v>32.770270270270274</c:v>
                </c:pt>
                <c:pt idx="49">
                  <c:v>33.445945945945944</c:v>
                </c:pt>
                <c:pt idx="50">
                  <c:v>34.121621621621621</c:v>
                </c:pt>
                <c:pt idx="51">
                  <c:v>34.797297297297298</c:v>
                </c:pt>
                <c:pt idx="52">
                  <c:v>35.472972972972975</c:v>
                </c:pt>
                <c:pt idx="53">
                  <c:v>36.148648648648646</c:v>
                </c:pt>
                <c:pt idx="54">
                  <c:v>36.824324324324323</c:v>
                </c:pt>
                <c:pt idx="55">
                  <c:v>37.5</c:v>
                </c:pt>
                <c:pt idx="56">
                  <c:v>38.175675675675677</c:v>
                </c:pt>
                <c:pt idx="57">
                  <c:v>38.851351351351354</c:v>
                </c:pt>
                <c:pt idx="58">
                  <c:v>39.527027027027025</c:v>
                </c:pt>
                <c:pt idx="59">
                  <c:v>40.202702702702702</c:v>
                </c:pt>
                <c:pt idx="60">
                  <c:v>40.878378378378379</c:v>
                </c:pt>
                <c:pt idx="61">
                  <c:v>41.554054054054056</c:v>
                </c:pt>
                <c:pt idx="62">
                  <c:v>42.229729729729726</c:v>
                </c:pt>
                <c:pt idx="63">
                  <c:v>42.905405405405403</c:v>
                </c:pt>
                <c:pt idx="64">
                  <c:v>43.581081081081081</c:v>
                </c:pt>
                <c:pt idx="65">
                  <c:v>44.256756756756758</c:v>
                </c:pt>
                <c:pt idx="66">
                  <c:v>44.932432432432435</c:v>
                </c:pt>
                <c:pt idx="67">
                  <c:v>45.608108108108105</c:v>
                </c:pt>
                <c:pt idx="68">
                  <c:v>46.283783783783782</c:v>
                </c:pt>
                <c:pt idx="69">
                  <c:v>46.95945945945946</c:v>
                </c:pt>
                <c:pt idx="70">
                  <c:v>47.635135135135137</c:v>
                </c:pt>
                <c:pt idx="71">
                  <c:v>48.310810810810807</c:v>
                </c:pt>
                <c:pt idx="72">
                  <c:v>48.986486486486484</c:v>
                </c:pt>
                <c:pt idx="73">
                  <c:v>49.662162162162161</c:v>
                </c:pt>
                <c:pt idx="74">
                  <c:v>50.337837837837839</c:v>
                </c:pt>
                <c:pt idx="75">
                  <c:v>51.013513513513516</c:v>
                </c:pt>
                <c:pt idx="76">
                  <c:v>51.689189189189186</c:v>
                </c:pt>
                <c:pt idx="77">
                  <c:v>52.364864864864863</c:v>
                </c:pt>
                <c:pt idx="78">
                  <c:v>53.04054054054054</c:v>
                </c:pt>
                <c:pt idx="79">
                  <c:v>53.716216216216218</c:v>
                </c:pt>
                <c:pt idx="80">
                  <c:v>54.391891891891888</c:v>
                </c:pt>
                <c:pt idx="81">
                  <c:v>55.067567567567565</c:v>
                </c:pt>
                <c:pt idx="82">
                  <c:v>55.743243243243242</c:v>
                </c:pt>
                <c:pt idx="83">
                  <c:v>56.418918918918919</c:v>
                </c:pt>
                <c:pt idx="84">
                  <c:v>57.094594594594597</c:v>
                </c:pt>
                <c:pt idx="85">
                  <c:v>57.770270270270267</c:v>
                </c:pt>
                <c:pt idx="86">
                  <c:v>58.445945945945944</c:v>
                </c:pt>
                <c:pt idx="87">
                  <c:v>59.121621621621621</c:v>
                </c:pt>
                <c:pt idx="88">
                  <c:v>59.797297297297298</c:v>
                </c:pt>
                <c:pt idx="89">
                  <c:v>60.472972972972975</c:v>
                </c:pt>
                <c:pt idx="90">
                  <c:v>61.148648648648646</c:v>
                </c:pt>
                <c:pt idx="91">
                  <c:v>61.824324324324323</c:v>
                </c:pt>
                <c:pt idx="92">
                  <c:v>62.5</c:v>
                </c:pt>
                <c:pt idx="93">
                  <c:v>63.175675675675677</c:v>
                </c:pt>
                <c:pt idx="94">
                  <c:v>63.851351351351347</c:v>
                </c:pt>
                <c:pt idx="95">
                  <c:v>64.527027027027032</c:v>
                </c:pt>
                <c:pt idx="96">
                  <c:v>65.202702702702709</c:v>
                </c:pt>
                <c:pt idx="97">
                  <c:v>65.878378378378372</c:v>
                </c:pt>
                <c:pt idx="98">
                  <c:v>66.554054054054049</c:v>
                </c:pt>
                <c:pt idx="99">
                  <c:v>67.229729729729726</c:v>
                </c:pt>
                <c:pt idx="100">
                  <c:v>67.905405405405403</c:v>
                </c:pt>
                <c:pt idx="101">
                  <c:v>68.581081081081081</c:v>
                </c:pt>
                <c:pt idx="102">
                  <c:v>69.256756756756758</c:v>
                </c:pt>
                <c:pt idx="103">
                  <c:v>69.932432432432435</c:v>
                </c:pt>
                <c:pt idx="104">
                  <c:v>70.608108108108112</c:v>
                </c:pt>
                <c:pt idx="105">
                  <c:v>71.28378378378379</c:v>
                </c:pt>
                <c:pt idx="106">
                  <c:v>71.959459459459453</c:v>
                </c:pt>
                <c:pt idx="107">
                  <c:v>72.63513513513513</c:v>
                </c:pt>
                <c:pt idx="108">
                  <c:v>73.310810810810807</c:v>
                </c:pt>
                <c:pt idx="109">
                  <c:v>73.986486486486484</c:v>
                </c:pt>
                <c:pt idx="110">
                  <c:v>74.662162162162161</c:v>
                </c:pt>
                <c:pt idx="111">
                  <c:v>75.337837837837839</c:v>
                </c:pt>
                <c:pt idx="112">
                  <c:v>76.013513513513516</c:v>
                </c:pt>
                <c:pt idx="113">
                  <c:v>76.689189189189193</c:v>
                </c:pt>
                <c:pt idx="114">
                  <c:v>77.36486486486487</c:v>
                </c:pt>
                <c:pt idx="115">
                  <c:v>78.040540540540533</c:v>
                </c:pt>
                <c:pt idx="116">
                  <c:v>78.71621621621621</c:v>
                </c:pt>
                <c:pt idx="117">
                  <c:v>79.391891891891888</c:v>
                </c:pt>
                <c:pt idx="118">
                  <c:v>80.067567567567565</c:v>
                </c:pt>
                <c:pt idx="119">
                  <c:v>80.743243243243242</c:v>
                </c:pt>
                <c:pt idx="120">
                  <c:v>81.418918918918919</c:v>
                </c:pt>
                <c:pt idx="121">
                  <c:v>82.094594594594597</c:v>
                </c:pt>
                <c:pt idx="122">
                  <c:v>82.770270270270274</c:v>
                </c:pt>
                <c:pt idx="123">
                  <c:v>83.445945945945951</c:v>
                </c:pt>
                <c:pt idx="124">
                  <c:v>84.121621621621614</c:v>
                </c:pt>
                <c:pt idx="125">
                  <c:v>84.797297297297291</c:v>
                </c:pt>
                <c:pt idx="126">
                  <c:v>85.472972972972968</c:v>
                </c:pt>
                <c:pt idx="127">
                  <c:v>86.148648648648646</c:v>
                </c:pt>
                <c:pt idx="128">
                  <c:v>86.824324324324323</c:v>
                </c:pt>
                <c:pt idx="129">
                  <c:v>87.5</c:v>
                </c:pt>
                <c:pt idx="130">
                  <c:v>88.175675675675677</c:v>
                </c:pt>
                <c:pt idx="131">
                  <c:v>88.851351351351354</c:v>
                </c:pt>
                <c:pt idx="132">
                  <c:v>89.527027027027032</c:v>
                </c:pt>
                <c:pt idx="133">
                  <c:v>90.202702702702695</c:v>
                </c:pt>
                <c:pt idx="134">
                  <c:v>90.878378378378372</c:v>
                </c:pt>
                <c:pt idx="135">
                  <c:v>91.554054054054049</c:v>
                </c:pt>
                <c:pt idx="136">
                  <c:v>92.229729729729726</c:v>
                </c:pt>
                <c:pt idx="137">
                  <c:v>92.905405405405403</c:v>
                </c:pt>
                <c:pt idx="138">
                  <c:v>93.581081081081081</c:v>
                </c:pt>
                <c:pt idx="139">
                  <c:v>94.256756756756758</c:v>
                </c:pt>
                <c:pt idx="140">
                  <c:v>94.932432432432435</c:v>
                </c:pt>
                <c:pt idx="141">
                  <c:v>95.608108108108112</c:v>
                </c:pt>
                <c:pt idx="142">
                  <c:v>96.283783783783775</c:v>
                </c:pt>
                <c:pt idx="143">
                  <c:v>96.959459459459453</c:v>
                </c:pt>
                <c:pt idx="144">
                  <c:v>97.63513513513513</c:v>
                </c:pt>
                <c:pt idx="145">
                  <c:v>98.310810810810807</c:v>
                </c:pt>
                <c:pt idx="146">
                  <c:v>98.986486486486484</c:v>
                </c:pt>
                <c:pt idx="147">
                  <c:v>99.662162162162161</c:v>
                </c:pt>
              </c:numCache>
            </c:numRef>
          </c:xVal>
          <c:yVal>
            <c:numRef>
              <c:f>'Regression Q1 A'!$F$26:$F$173</c:f>
              <c:numCache>
                <c:formatCode>General</c:formatCode>
                <c:ptCount val="148"/>
                <c:pt idx="0">
                  <c:v>83760</c:v>
                </c:pt>
                <c:pt idx="1">
                  <c:v>104830</c:v>
                </c:pt>
                <c:pt idx="2">
                  <c:v>107060</c:v>
                </c:pt>
                <c:pt idx="3">
                  <c:v>107900</c:v>
                </c:pt>
                <c:pt idx="4">
                  <c:v>109410</c:v>
                </c:pt>
                <c:pt idx="5">
                  <c:v>109460</c:v>
                </c:pt>
                <c:pt idx="6">
                  <c:v>110610</c:v>
                </c:pt>
                <c:pt idx="7">
                  <c:v>111230</c:v>
                </c:pt>
                <c:pt idx="8">
                  <c:v>111550</c:v>
                </c:pt>
                <c:pt idx="9">
                  <c:v>111700</c:v>
                </c:pt>
                <c:pt idx="10">
                  <c:v>111950</c:v>
                </c:pt>
                <c:pt idx="11">
                  <c:v>112040</c:v>
                </c:pt>
                <c:pt idx="12">
                  <c:v>112600</c:v>
                </c:pt>
                <c:pt idx="13">
                  <c:v>113550</c:v>
                </c:pt>
                <c:pt idx="14">
                  <c:v>113610</c:v>
                </c:pt>
                <c:pt idx="15">
                  <c:v>113770</c:v>
                </c:pt>
                <c:pt idx="16">
                  <c:v>113780</c:v>
                </c:pt>
                <c:pt idx="17">
                  <c:v>114230</c:v>
                </c:pt>
                <c:pt idx="18">
                  <c:v>114330</c:v>
                </c:pt>
                <c:pt idx="19">
                  <c:v>114550</c:v>
                </c:pt>
                <c:pt idx="20">
                  <c:v>114570</c:v>
                </c:pt>
                <c:pt idx="21">
                  <c:v>115470</c:v>
                </c:pt>
                <c:pt idx="22">
                  <c:v>115730</c:v>
                </c:pt>
                <c:pt idx="23">
                  <c:v>116200</c:v>
                </c:pt>
                <c:pt idx="24">
                  <c:v>118200</c:v>
                </c:pt>
                <c:pt idx="25">
                  <c:v>118520</c:v>
                </c:pt>
                <c:pt idx="26">
                  <c:v>118640</c:v>
                </c:pt>
                <c:pt idx="27">
                  <c:v>118790</c:v>
                </c:pt>
                <c:pt idx="28">
                  <c:v>119330</c:v>
                </c:pt>
                <c:pt idx="29">
                  <c:v>120140</c:v>
                </c:pt>
                <c:pt idx="30">
                  <c:v>120290</c:v>
                </c:pt>
                <c:pt idx="31">
                  <c:v>120440</c:v>
                </c:pt>
                <c:pt idx="32">
                  <c:v>120450</c:v>
                </c:pt>
                <c:pt idx="33">
                  <c:v>120530</c:v>
                </c:pt>
                <c:pt idx="34">
                  <c:v>121140</c:v>
                </c:pt>
                <c:pt idx="35">
                  <c:v>121450</c:v>
                </c:pt>
                <c:pt idx="36">
                  <c:v>121540</c:v>
                </c:pt>
                <c:pt idx="37">
                  <c:v>121870</c:v>
                </c:pt>
                <c:pt idx="38">
                  <c:v>122080</c:v>
                </c:pt>
                <c:pt idx="39">
                  <c:v>122270</c:v>
                </c:pt>
                <c:pt idx="40">
                  <c:v>122780</c:v>
                </c:pt>
                <c:pt idx="41">
                  <c:v>123450</c:v>
                </c:pt>
                <c:pt idx="42">
                  <c:v>123550</c:v>
                </c:pt>
                <c:pt idx="43">
                  <c:v>124050</c:v>
                </c:pt>
                <c:pt idx="44">
                  <c:v>124250</c:v>
                </c:pt>
                <c:pt idx="45">
                  <c:v>124710</c:v>
                </c:pt>
                <c:pt idx="46">
                  <c:v>125760</c:v>
                </c:pt>
                <c:pt idx="47">
                  <c:v>125840</c:v>
                </c:pt>
                <c:pt idx="48">
                  <c:v>125890</c:v>
                </c:pt>
                <c:pt idx="49">
                  <c:v>126740</c:v>
                </c:pt>
                <c:pt idx="50">
                  <c:v>127040</c:v>
                </c:pt>
                <c:pt idx="51">
                  <c:v>127290</c:v>
                </c:pt>
                <c:pt idx="52">
                  <c:v>127300</c:v>
                </c:pt>
                <c:pt idx="53">
                  <c:v>128030</c:v>
                </c:pt>
                <c:pt idx="54">
                  <c:v>128490.00000000001</c:v>
                </c:pt>
                <c:pt idx="55">
                  <c:v>128520.00000000001</c:v>
                </c:pt>
                <c:pt idx="56">
                  <c:v>129340</c:v>
                </c:pt>
                <c:pt idx="57">
                  <c:v>129430</c:v>
                </c:pt>
                <c:pt idx="58">
                  <c:v>129560</c:v>
                </c:pt>
                <c:pt idx="59">
                  <c:v>129889.99999999999</c:v>
                </c:pt>
                <c:pt idx="60">
                  <c:v>130080.00000000001</c:v>
                </c:pt>
                <c:pt idx="61">
                  <c:v>130090</c:v>
                </c:pt>
                <c:pt idx="62">
                  <c:v>131150</c:v>
                </c:pt>
                <c:pt idx="63">
                  <c:v>131290</c:v>
                </c:pt>
                <c:pt idx="64">
                  <c:v>131450</c:v>
                </c:pt>
                <c:pt idx="65">
                  <c:v>132020</c:v>
                </c:pt>
                <c:pt idx="66">
                  <c:v>132320</c:v>
                </c:pt>
                <c:pt idx="67">
                  <c:v>132450</c:v>
                </c:pt>
                <c:pt idx="68">
                  <c:v>132540</c:v>
                </c:pt>
                <c:pt idx="69">
                  <c:v>132680</c:v>
                </c:pt>
                <c:pt idx="70">
                  <c:v>132980</c:v>
                </c:pt>
                <c:pt idx="71">
                  <c:v>133270</c:v>
                </c:pt>
                <c:pt idx="72">
                  <c:v>133270</c:v>
                </c:pt>
                <c:pt idx="73">
                  <c:v>135120</c:v>
                </c:pt>
                <c:pt idx="74">
                  <c:v>135260</c:v>
                </c:pt>
                <c:pt idx="75">
                  <c:v>135320</c:v>
                </c:pt>
                <c:pt idx="76">
                  <c:v>135350</c:v>
                </c:pt>
                <c:pt idx="77">
                  <c:v>135440</c:v>
                </c:pt>
                <c:pt idx="78">
                  <c:v>135570</c:v>
                </c:pt>
                <c:pt idx="79">
                  <c:v>135620</c:v>
                </c:pt>
                <c:pt idx="80">
                  <c:v>135720</c:v>
                </c:pt>
                <c:pt idx="81">
                  <c:v>135830</c:v>
                </c:pt>
                <c:pt idx="82">
                  <c:v>136010</c:v>
                </c:pt>
                <c:pt idx="83">
                  <c:v>136160</c:v>
                </c:pt>
                <c:pt idx="84">
                  <c:v>136450</c:v>
                </c:pt>
                <c:pt idx="85">
                  <c:v>136510</c:v>
                </c:pt>
                <c:pt idx="86">
                  <c:v>136870</c:v>
                </c:pt>
                <c:pt idx="87">
                  <c:v>137170</c:v>
                </c:pt>
                <c:pt idx="88">
                  <c:v>137270</c:v>
                </c:pt>
                <c:pt idx="89">
                  <c:v>137350</c:v>
                </c:pt>
                <c:pt idx="90">
                  <c:v>138380</c:v>
                </c:pt>
                <c:pt idx="91">
                  <c:v>138530</c:v>
                </c:pt>
                <c:pt idx="92">
                  <c:v>138820</c:v>
                </c:pt>
                <c:pt idx="93">
                  <c:v>139010</c:v>
                </c:pt>
                <c:pt idx="94">
                  <c:v>139350</c:v>
                </c:pt>
                <c:pt idx="95">
                  <c:v>139490</c:v>
                </c:pt>
                <c:pt idx="96">
                  <c:v>139540</c:v>
                </c:pt>
                <c:pt idx="97">
                  <c:v>140200</c:v>
                </c:pt>
                <c:pt idx="98">
                  <c:v>140240</c:v>
                </c:pt>
                <c:pt idx="99">
                  <c:v>140300</c:v>
                </c:pt>
                <c:pt idx="100">
                  <c:v>140590</c:v>
                </c:pt>
                <c:pt idx="101">
                  <c:v>140820</c:v>
                </c:pt>
                <c:pt idx="102">
                  <c:v>141050</c:v>
                </c:pt>
                <c:pt idx="103">
                  <c:v>141110</c:v>
                </c:pt>
                <c:pt idx="104">
                  <c:v>141230</c:v>
                </c:pt>
                <c:pt idx="105">
                  <c:v>141320</c:v>
                </c:pt>
                <c:pt idx="106">
                  <c:v>141930</c:v>
                </c:pt>
                <c:pt idx="107">
                  <c:v>142130</c:v>
                </c:pt>
                <c:pt idx="108">
                  <c:v>142760</c:v>
                </c:pt>
                <c:pt idx="109">
                  <c:v>142890</c:v>
                </c:pt>
                <c:pt idx="110">
                  <c:v>143460</c:v>
                </c:pt>
                <c:pt idx="111">
                  <c:v>143880</c:v>
                </c:pt>
                <c:pt idx="112">
                  <c:v>144350</c:v>
                </c:pt>
                <c:pt idx="113">
                  <c:v>144680</c:v>
                </c:pt>
                <c:pt idx="114">
                  <c:v>144800</c:v>
                </c:pt>
                <c:pt idx="115">
                  <c:v>144920</c:v>
                </c:pt>
                <c:pt idx="116">
                  <c:v>144940</c:v>
                </c:pt>
                <c:pt idx="117">
                  <c:v>145140</c:v>
                </c:pt>
                <c:pt idx="118">
                  <c:v>145140</c:v>
                </c:pt>
                <c:pt idx="119">
                  <c:v>145710</c:v>
                </c:pt>
                <c:pt idx="120">
                  <c:v>145880</c:v>
                </c:pt>
                <c:pt idx="121">
                  <c:v>146070</c:v>
                </c:pt>
                <c:pt idx="122">
                  <c:v>146860</c:v>
                </c:pt>
                <c:pt idx="123">
                  <c:v>147250</c:v>
                </c:pt>
                <c:pt idx="124">
                  <c:v>147470</c:v>
                </c:pt>
                <c:pt idx="125">
                  <c:v>147530</c:v>
                </c:pt>
                <c:pt idx="126">
                  <c:v>147530</c:v>
                </c:pt>
                <c:pt idx="127">
                  <c:v>148650</c:v>
                </c:pt>
                <c:pt idx="128">
                  <c:v>149510</c:v>
                </c:pt>
                <c:pt idx="129">
                  <c:v>149550</c:v>
                </c:pt>
                <c:pt idx="130">
                  <c:v>149920</c:v>
                </c:pt>
                <c:pt idx="131">
                  <c:v>150250</c:v>
                </c:pt>
                <c:pt idx="132">
                  <c:v>150380</c:v>
                </c:pt>
                <c:pt idx="133">
                  <c:v>151960</c:v>
                </c:pt>
                <c:pt idx="134">
                  <c:v>151990</c:v>
                </c:pt>
                <c:pt idx="135">
                  <c:v>152260</c:v>
                </c:pt>
                <c:pt idx="136">
                  <c:v>152840</c:v>
                </c:pt>
                <c:pt idx="137">
                  <c:v>152900</c:v>
                </c:pt>
                <c:pt idx="138">
                  <c:v>153240</c:v>
                </c:pt>
                <c:pt idx="139">
                  <c:v>153330</c:v>
                </c:pt>
                <c:pt idx="140">
                  <c:v>153690</c:v>
                </c:pt>
                <c:pt idx="141">
                  <c:v>155460</c:v>
                </c:pt>
                <c:pt idx="142">
                  <c:v>156520</c:v>
                </c:pt>
                <c:pt idx="143">
                  <c:v>157390</c:v>
                </c:pt>
                <c:pt idx="144">
                  <c:v>157790</c:v>
                </c:pt>
                <c:pt idx="145">
                  <c:v>160030</c:v>
                </c:pt>
                <c:pt idx="146">
                  <c:v>162030</c:v>
                </c:pt>
                <c:pt idx="147">
                  <c:v>172360</c:v>
                </c:pt>
              </c:numCache>
            </c:numRef>
          </c:yVal>
          <c:smooth val="0"/>
          <c:extLst>
            <c:ext xmlns:c16="http://schemas.microsoft.com/office/drawing/2014/chart" uri="{C3380CC4-5D6E-409C-BE32-E72D297353CC}">
              <c16:uniqueId val="{00000001-8B4C-477C-AAA5-507572C9BC90}"/>
            </c:ext>
          </c:extLst>
        </c:ser>
        <c:dLbls>
          <c:showLegendKey val="0"/>
          <c:showVal val="0"/>
          <c:showCatName val="0"/>
          <c:showSerName val="0"/>
          <c:showPercent val="0"/>
          <c:showBubbleSize val="0"/>
        </c:dLbls>
        <c:axId val="1630358720"/>
        <c:axId val="1630357280"/>
      </c:scatterChart>
      <c:valAx>
        <c:axId val="1630358720"/>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1630357280"/>
        <c:crosses val="autoZero"/>
        <c:crossBetween val="midCat"/>
      </c:valAx>
      <c:valAx>
        <c:axId val="1630357280"/>
        <c:scaling>
          <c:orientation val="minMax"/>
        </c:scaling>
        <c:delete val="0"/>
        <c:axPos val="l"/>
        <c:title>
          <c:tx>
            <c:rich>
              <a:bodyPr/>
              <a:lstStyle/>
              <a:p>
                <a:pPr>
                  <a:defRPr/>
                </a:pPr>
                <a:r>
                  <a:rPr lang="en-US"/>
                  <a:t>Y</a:t>
                </a:r>
              </a:p>
            </c:rich>
          </c:tx>
          <c:overlay val="0"/>
        </c:title>
        <c:numFmt formatCode="General" sourceLinked="1"/>
        <c:majorTickMark val="out"/>
        <c:minorTickMark val="none"/>
        <c:tickLblPos val="nextTo"/>
        <c:crossAx val="1630358720"/>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Q2A!$K$1</c:f>
          <c:strCache>
            <c:ptCount val="1"/>
            <c:pt idx="0">
              <c:v>Sensitivity of $B$15 to rail transportation</c:v>
            </c:pt>
          </c:strCache>
        </c:strRef>
      </c:tx>
      <c:overlay val="0"/>
      <c:txPr>
        <a:bodyPr/>
        <a:lstStyle/>
        <a:p>
          <a:pPr>
            <a:defRPr sz="1200"/>
          </a:pPr>
          <a:endParaRPr lang="en-US"/>
        </a:p>
      </c:txPr>
    </c:title>
    <c:autoTitleDeleted val="0"/>
    <c:plotArea>
      <c:layout/>
      <c:lineChart>
        <c:grouping val="standard"/>
        <c:varyColors val="0"/>
        <c:ser>
          <c:idx val="0"/>
          <c:order val="0"/>
          <c:cat>
            <c:numRef>
              <c:f>Q2A!$A$5:$A$13</c:f>
              <c:numCache>
                <c:formatCode>General</c:formatCode>
                <c:ptCount val="9"/>
                <c:pt idx="0">
                  <c:v>20</c:v>
                </c:pt>
                <c:pt idx="1">
                  <c:v>30</c:v>
                </c:pt>
                <c:pt idx="2">
                  <c:v>40</c:v>
                </c:pt>
                <c:pt idx="3">
                  <c:v>50</c:v>
                </c:pt>
                <c:pt idx="4">
                  <c:v>60</c:v>
                </c:pt>
                <c:pt idx="5">
                  <c:v>70</c:v>
                </c:pt>
                <c:pt idx="6">
                  <c:v>80</c:v>
                </c:pt>
                <c:pt idx="7">
                  <c:v>90</c:v>
                </c:pt>
                <c:pt idx="8">
                  <c:v>100</c:v>
                </c:pt>
              </c:numCache>
            </c:numRef>
          </c:cat>
          <c:val>
            <c:numRef>
              <c:f>Q2A!$K$5:$K$13</c:f>
              <c:numCache>
                <c:formatCode>General</c:formatCode>
                <c:ptCount val="9"/>
                <c:pt idx="0">
                  <c:v>0</c:v>
                </c:pt>
                <c:pt idx="1">
                  <c:v>1840</c:v>
                </c:pt>
                <c:pt idx="2">
                  <c:v>1800</c:v>
                </c:pt>
                <c:pt idx="3">
                  <c:v>1790</c:v>
                </c:pt>
                <c:pt idx="4">
                  <c:v>1780</c:v>
                </c:pt>
                <c:pt idx="5">
                  <c:v>1770</c:v>
                </c:pt>
                <c:pt idx="6">
                  <c:v>1760</c:v>
                </c:pt>
                <c:pt idx="7">
                  <c:v>1750</c:v>
                </c:pt>
                <c:pt idx="8">
                  <c:v>1740</c:v>
                </c:pt>
              </c:numCache>
            </c:numRef>
          </c:val>
          <c:smooth val="0"/>
          <c:extLst>
            <c:ext xmlns:c16="http://schemas.microsoft.com/office/drawing/2014/chart" uri="{C3380CC4-5D6E-409C-BE32-E72D297353CC}">
              <c16:uniqueId val="{00000001-ED2A-4A85-B5F7-1221B753DA27}"/>
            </c:ext>
          </c:extLst>
        </c:ser>
        <c:dLbls>
          <c:showLegendKey val="0"/>
          <c:showVal val="0"/>
          <c:showCatName val="0"/>
          <c:showSerName val="0"/>
          <c:showPercent val="0"/>
          <c:showBubbleSize val="0"/>
        </c:dLbls>
        <c:marker val="1"/>
        <c:smooth val="0"/>
        <c:axId val="1756397072"/>
        <c:axId val="1756394672"/>
      </c:lineChart>
      <c:catAx>
        <c:axId val="1756397072"/>
        <c:scaling>
          <c:orientation val="minMax"/>
        </c:scaling>
        <c:delete val="0"/>
        <c:axPos val="b"/>
        <c:title>
          <c:tx>
            <c:rich>
              <a:bodyPr/>
              <a:lstStyle/>
              <a:p>
                <a:pPr>
                  <a:defRPr/>
                </a:pPr>
                <a:r>
                  <a:rPr lang="en-US"/>
                  <a:t>rail transportation ($G$25)</a:t>
                </a:r>
              </a:p>
            </c:rich>
          </c:tx>
          <c:overlay val="0"/>
        </c:title>
        <c:numFmt formatCode="General" sourceLinked="1"/>
        <c:majorTickMark val="out"/>
        <c:minorTickMark val="none"/>
        <c:tickLblPos val="nextTo"/>
        <c:crossAx val="1756394672"/>
        <c:crosses val="autoZero"/>
        <c:auto val="1"/>
        <c:lblAlgn val="ctr"/>
        <c:lblOffset val="100"/>
        <c:noMultiLvlLbl val="0"/>
      </c:catAx>
      <c:valAx>
        <c:axId val="1756394672"/>
        <c:scaling>
          <c:orientation val="minMax"/>
        </c:scaling>
        <c:delete val="0"/>
        <c:axPos val="l"/>
        <c:majorGridlines/>
        <c:numFmt formatCode="General" sourceLinked="1"/>
        <c:majorTickMark val="out"/>
        <c:minorTickMark val="none"/>
        <c:tickLblPos val="nextTo"/>
        <c:crossAx val="1756397072"/>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Total additional</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Total additional</a:t>
          </a:r>
        </a:p>
      </cx:txPr>
    </cx:title>
    <cx:plotArea>
      <cx:plotAreaRegion>
        <cx:series layoutId="clusteredColumn" uniqueId="{1EE458C5-5451-4208-A414-30A08A9BA33F}">
          <cx:tx>
            <cx:txData>
              <cx:f>_xlchart.v1.0</cx:f>
              <cx:v>total additional</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7</xdr:col>
      <xdr:colOff>533400</xdr:colOff>
      <xdr:row>1</xdr:row>
      <xdr:rowOff>123825</xdr:rowOff>
    </xdr:from>
    <xdr:to>
      <xdr:col>17</xdr:col>
      <xdr:colOff>600075</xdr:colOff>
      <xdr:row>18</xdr:row>
      <xdr:rowOff>47625</xdr:rowOff>
    </xdr:to>
    <mc:AlternateContent xmlns:mc="http://schemas.openxmlformats.org/markup-compatibility/2006" xmlns:a14="http://schemas.microsoft.com/office/drawing/2010/main">
      <mc:Choice Requires="a14">
        <xdr:sp macro="" textlink="">
          <xdr:nvSpPr>
            <xdr:cNvPr id="2" name="Rectangle 1">
              <a:extLst>
                <a:ext uri="{FF2B5EF4-FFF2-40B4-BE49-F238E27FC236}">
                  <a16:creationId xmlns:a16="http://schemas.microsoft.com/office/drawing/2014/main" id="{27F27298-C9B9-6305-E8C8-5D3E51CDF4CC}"/>
                </a:ext>
              </a:extLst>
            </xdr:cNvPr>
            <xdr:cNvSpPr/>
          </xdr:nvSpPr>
          <xdr:spPr>
            <a:xfrm>
              <a:off x="5562600" y="314325"/>
              <a:ext cx="6162675" cy="3162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Do the selling prices of houses in a given community vary systematically with their sizes (as measured in square feet)</a:t>
              </a:r>
              <a:r>
                <a:rPr lang="en-US" sz="1800" baseline="0"/>
                <a:t> and the appraised value (in $)</a:t>
              </a:r>
              <a:r>
                <a:rPr lang="en-US" sz="1800"/>
                <a:t>? </a:t>
              </a:r>
            </a:p>
            <a:p>
              <a:pPr algn="l"/>
              <a:r>
                <a:rPr lang="en-US" sz="1800"/>
                <a:t>a) Answer this question by estimating a multiple linear regression equation and interpret your estimated equation and the associated </a:t>
              </a:r>
              <a14:m>
                <m:oMath xmlns:m="http://schemas.openxmlformats.org/officeDocument/2006/math">
                  <m:sSup>
                    <m:sSupPr>
                      <m:ctrlPr>
                        <a:rPr lang="en-US" sz="1800" i="1">
                          <a:latin typeface="Cambria Math" panose="02040503050406030204" pitchFamily="18" charset="0"/>
                        </a:rPr>
                      </m:ctrlPr>
                    </m:sSupPr>
                    <m:e>
                      <m:r>
                        <a:rPr lang="en-US" sz="1800" i="1">
                          <a:latin typeface="Cambria Math" panose="02040503050406030204" pitchFamily="18" charset="0"/>
                        </a:rPr>
                        <m:t>𝑅</m:t>
                      </m:r>
                    </m:e>
                    <m:sup>
                      <m:r>
                        <a:rPr lang="en-US" sz="1800" b="0" i="1">
                          <a:latin typeface="Cambria Math" panose="02040503050406030204" pitchFamily="18" charset="0"/>
                        </a:rPr>
                        <m:t>2</m:t>
                      </m:r>
                    </m:sup>
                  </m:sSup>
                </m:oMath>
              </a14:m>
              <a:r>
                <a:rPr lang="en-US" sz="1800"/>
                <a:t>.</a:t>
              </a:r>
            </a:p>
            <a:p>
              <a:pPr algn="l"/>
              <a:r>
                <a:rPr lang="en-US" sz="1800"/>
                <a:t>b) Check whether the assumptions of linear regression model are grossly violated or not (briefly explain).</a:t>
              </a:r>
            </a:p>
          </xdr:txBody>
        </xdr:sp>
      </mc:Choice>
      <mc:Fallback xmlns="">
        <xdr:sp macro="" textlink="">
          <xdr:nvSpPr>
            <xdr:cNvPr id="2" name="Rectangle 1">
              <a:extLst>
                <a:ext uri="{FF2B5EF4-FFF2-40B4-BE49-F238E27FC236}">
                  <a16:creationId xmlns:a16="http://schemas.microsoft.com/office/drawing/2014/main" id="{27F27298-C9B9-6305-E8C8-5D3E51CDF4CC}"/>
                </a:ext>
              </a:extLst>
            </xdr:cNvPr>
            <xdr:cNvSpPr/>
          </xdr:nvSpPr>
          <xdr:spPr>
            <a:xfrm>
              <a:off x="5562600" y="314325"/>
              <a:ext cx="6162675" cy="3162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Do the selling prices of houses in a given community vary systematically with their sizes (as measured in square feet)</a:t>
              </a:r>
              <a:r>
                <a:rPr lang="en-US" sz="1800" baseline="0"/>
                <a:t> and the appraised value (in $)</a:t>
              </a:r>
              <a:r>
                <a:rPr lang="en-US" sz="1800"/>
                <a:t>? </a:t>
              </a:r>
            </a:p>
            <a:p>
              <a:pPr algn="l"/>
              <a:r>
                <a:rPr lang="en-US" sz="1800"/>
                <a:t>a) Answer this question by estimating a multiple linear regression equation and interpret your estimated equation and the associated </a:t>
              </a:r>
              <a:r>
                <a:rPr lang="en-US" sz="1800" i="0">
                  <a:latin typeface="Cambria Math" panose="02040503050406030204" pitchFamily="18" charset="0"/>
                </a:rPr>
                <a:t>𝑅^</a:t>
              </a:r>
              <a:r>
                <a:rPr lang="en-US" sz="1800" b="0" i="0">
                  <a:latin typeface="Cambria Math" panose="02040503050406030204" pitchFamily="18" charset="0"/>
                </a:rPr>
                <a:t>2</a:t>
              </a:r>
              <a:r>
                <a:rPr lang="en-US" sz="1800"/>
                <a:t>.</a:t>
              </a:r>
            </a:p>
            <a:p>
              <a:pPr algn="l"/>
              <a:r>
                <a:rPr lang="en-US" sz="1800"/>
                <a:t>b) Check whether the assumptions of linear regression model are grossly violated or not (briefly explain).</a:t>
              </a:r>
            </a:p>
          </xdr:txBody>
        </xdr:sp>
      </mc:Fallback>
    </mc:AlternateContent>
    <xdr:clientData/>
  </xdr:twoCellAnchor>
  <xdr:twoCellAnchor>
    <xdr:from>
      <xdr:col>8</xdr:col>
      <xdr:colOff>419100</xdr:colOff>
      <xdr:row>20</xdr:row>
      <xdr:rowOff>71437</xdr:rowOff>
    </xdr:from>
    <xdr:to>
      <xdr:col>16</xdr:col>
      <xdr:colOff>114300</xdr:colOff>
      <xdr:row>34</xdr:row>
      <xdr:rowOff>147637</xdr:rowOff>
    </xdr:to>
    <xdr:graphicFrame macro="">
      <xdr:nvGraphicFramePr>
        <xdr:cNvPr id="3" name="Chart 2">
          <a:extLst>
            <a:ext uri="{FF2B5EF4-FFF2-40B4-BE49-F238E27FC236}">
              <a16:creationId xmlns:a16="http://schemas.microsoft.com/office/drawing/2014/main" id="{043AF47A-340B-E080-893F-3876ABF1C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457200</xdr:colOff>
      <xdr:row>38</xdr:row>
      <xdr:rowOff>109537</xdr:rowOff>
    </xdr:from>
    <xdr:to>
      <xdr:col>16</xdr:col>
      <xdr:colOff>152400</xdr:colOff>
      <xdr:row>52</xdr:row>
      <xdr:rowOff>185737</xdr:rowOff>
    </xdr:to>
    <xdr:graphicFrame macro="">
      <xdr:nvGraphicFramePr>
        <xdr:cNvPr id="4" name="Chart 3">
          <a:extLst>
            <a:ext uri="{FF2B5EF4-FFF2-40B4-BE49-F238E27FC236}">
              <a16:creationId xmlns:a16="http://schemas.microsoft.com/office/drawing/2014/main" id="{10998ACB-CF6B-1DB1-9446-143912051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238125</xdr:colOff>
      <xdr:row>0</xdr:row>
      <xdr:rowOff>180975</xdr:rowOff>
    </xdr:from>
    <xdr:to>
      <xdr:col>15</xdr:col>
      <xdr:colOff>238125</xdr:colOff>
      <xdr:row>10</xdr:row>
      <xdr:rowOff>180975</xdr:rowOff>
    </xdr:to>
    <xdr:graphicFrame macro="">
      <xdr:nvGraphicFramePr>
        <xdr:cNvPr id="2" name="Chart 1">
          <a:extLst>
            <a:ext uri="{FF2B5EF4-FFF2-40B4-BE49-F238E27FC236}">
              <a16:creationId xmlns:a16="http://schemas.microsoft.com/office/drawing/2014/main" id="{F1686A5C-9D84-DEA3-3FC6-03382C98C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466725</xdr:colOff>
      <xdr:row>1</xdr:row>
      <xdr:rowOff>57150</xdr:rowOff>
    </xdr:from>
    <xdr:to>
      <xdr:col>22</xdr:col>
      <xdr:colOff>466725</xdr:colOff>
      <xdr:row>11</xdr:row>
      <xdr:rowOff>47625</xdr:rowOff>
    </xdr:to>
    <xdr:graphicFrame macro="">
      <xdr:nvGraphicFramePr>
        <xdr:cNvPr id="3" name="Chart 2">
          <a:extLst>
            <a:ext uri="{FF2B5EF4-FFF2-40B4-BE49-F238E27FC236}">
              <a16:creationId xmlns:a16="http://schemas.microsoft.com/office/drawing/2014/main" id="{EC24EBDB-2968-296E-BC76-63E7966C6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514350</xdr:colOff>
      <xdr:row>19</xdr:row>
      <xdr:rowOff>95250</xdr:rowOff>
    </xdr:from>
    <xdr:to>
      <xdr:col>18</xdr:col>
      <xdr:colOff>514350</xdr:colOff>
      <xdr:row>29</xdr:row>
      <xdr:rowOff>114300</xdr:rowOff>
    </xdr:to>
    <xdr:graphicFrame macro="">
      <xdr:nvGraphicFramePr>
        <xdr:cNvPr id="4" name="Chart 3">
          <a:extLst>
            <a:ext uri="{FF2B5EF4-FFF2-40B4-BE49-F238E27FC236}">
              <a16:creationId xmlns:a16="http://schemas.microsoft.com/office/drawing/2014/main" id="{DD4D867C-2AA5-4799-5FC1-78BE96C41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4</xdr:col>
      <xdr:colOff>3810</xdr:colOff>
      <xdr:row>14</xdr:row>
      <xdr:rowOff>0</xdr:rowOff>
    </xdr:from>
    <xdr:to>
      <xdr:col>12</xdr:col>
      <xdr:colOff>3810</xdr:colOff>
      <xdr:row>29</xdr:row>
      <xdr:rowOff>0</xdr:rowOff>
    </xdr:to>
    <xdr:graphicFrame macro="">
      <xdr:nvGraphicFramePr>
        <xdr:cNvPr id="2" name="STS_1_Chart">
          <a:extLst>
            <a:ext uri="{FF2B5EF4-FFF2-40B4-BE49-F238E27FC236}">
              <a16:creationId xmlns:a16="http://schemas.microsoft.com/office/drawing/2014/main" id="{3DE02A34-1919-F6C8-7CEC-378B557B0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3810</xdr:colOff>
      <xdr:row>3</xdr:row>
      <xdr:rowOff>0</xdr:rowOff>
    </xdr:from>
    <xdr:to>
      <xdr:col>10</xdr:col>
      <xdr:colOff>3810</xdr:colOff>
      <xdr:row>5</xdr:row>
      <xdr:rowOff>161925</xdr:rowOff>
    </xdr:to>
    <xdr:sp macro="" textlink="">
      <xdr:nvSpPr>
        <xdr:cNvPr id="3" name="TextBox 2">
          <a:extLst>
            <a:ext uri="{FF2B5EF4-FFF2-40B4-BE49-F238E27FC236}">
              <a16:creationId xmlns:a16="http://schemas.microsoft.com/office/drawing/2014/main" id="{3CADBAB0-0020-DB2D-7B4F-706D9F3DE2F3}"/>
            </a:ext>
          </a:extLst>
        </xdr:cNvPr>
        <xdr:cNvSpPr txBox="1"/>
      </xdr:nvSpPr>
      <xdr:spPr>
        <a:xfrm>
          <a:off x="7315200" y="571500"/>
          <a:ext cx="2438400" cy="762000"/>
        </a:xfrm>
        <a:prstGeom prst="rect">
          <a:avLst/>
        </a:prstGeom>
        <a:solidFill>
          <a:schemeClr val="lt1"/>
        </a:solidFill>
        <a:ln w="15875" cap="flat" cmpd="sng" algn="ctr">
          <a:solidFill>
            <a:schemeClr val="accent1">
              <a:lumMod val="10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When you select an output from the dropdown list in cell $K$4, the chart will adapt to that output.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247650</xdr:colOff>
      <xdr:row>0</xdr:row>
      <xdr:rowOff>114299</xdr:rowOff>
    </xdr:from>
    <xdr:to>
      <xdr:col>19</xdr:col>
      <xdr:colOff>314325</xdr:colOff>
      <xdr:row>33</xdr:row>
      <xdr:rowOff>123825</xdr:rowOff>
    </xdr:to>
    <xdr:sp macro="" textlink="">
      <xdr:nvSpPr>
        <xdr:cNvPr id="2" name="Rectangle 1">
          <a:extLst>
            <a:ext uri="{FF2B5EF4-FFF2-40B4-BE49-F238E27FC236}">
              <a16:creationId xmlns:a16="http://schemas.microsoft.com/office/drawing/2014/main" id="{89238124-58D9-40C8-88A2-55E6D4194504}"/>
            </a:ext>
          </a:extLst>
        </xdr:cNvPr>
        <xdr:cNvSpPr/>
      </xdr:nvSpPr>
      <xdr:spPr>
        <a:xfrm>
          <a:off x="8143875" y="114299"/>
          <a:ext cx="6162675" cy="629602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a:latin typeface="+mn-lt"/>
            </a:rPr>
            <a:t>GreenFresh Foods operates three production plants that supply four regional distribution centers (DCs). Each plant has a limited weekly production capacity and each DC has a known weekly demand. Shipping one unit from a plant to a DC incurs a transportation cost that depends on the route.</a:t>
          </a:r>
        </a:p>
        <a:p>
          <a:pPr algn="l"/>
          <a:endParaRPr lang="en-US" sz="1800" b="0">
            <a:latin typeface="+mn-lt"/>
          </a:endParaRPr>
        </a:p>
        <a:p>
          <a:pPr algn="l"/>
          <a:r>
            <a:rPr lang="en-US" sz="1800" b="0">
              <a:latin typeface="+mn-lt"/>
            </a:rPr>
            <a:t>There are the following additional</a:t>
          </a:r>
          <a:r>
            <a:rPr lang="en-US" sz="1800" b="0" baseline="0">
              <a:latin typeface="+mn-lt"/>
            </a:rPr>
            <a:t> business constraints: </a:t>
          </a:r>
        </a:p>
        <a:p>
          <a:pPr algn="l"/>
          <a:r>
            <a:rPr lang="en-US" sz="1800" b="0">
              <a:latin typeface="+mn-lt"/>
            </a:rPr>
            <a:t>1. Plant 3 cannot ship to DC 1 because DC 1 requires a special packaging process that Plant 3 does not have.</a:t>
          </a:r>
        </a:p>
        <a:p>
          <a:pPr algn="l"/>
          <a:r>
            <a:rPr lang="en-US" sz="1800" b="0">
              <a:latin typeface="+mn-lt"/>
            </a:rPr>
            <a:t>2. Shipments from Plants 1 and 2 to DC 4 share a single rail line with limited capacity. At most 90 tons can be shipped to DC 4 from these two plants combined.</a:t>
          </a:r>
          <a:r>
            <a:rPr lang="en-US" sz="1800" b="0" baseline="0">
              <a:latin typeface="+mn-lt"/>
            </a:rPr>
            <a:t> </a:t>
          </a:r>
        </a:p>
        <a:p>
          <a:pPr algn="l"/>
          <a:endParaRPr lang="en-US" sz="1800" b="0" baseline="0">
            <a:latin typeface="+mn-lt"/>
          </a:endParaRPr>
        </a:p>
        <a:p>
          <a:pPr algn="l"/>
          <a:r>
            <a:rPr lang="en-US" sz="1800" b="0" baseline="0">
              <a:latin typeface="+mn-lt"/>
            </a:rPr>
            <a:t>a) Create the spreadsheet model for the above problem and solve it with </a:t>
          </a:r>
          <a:r>
            <a:rPr lang="en-US" sz="1800" b="0" u="sng" baseline="0">
              <a:latin typeface="+mn-lt"/>
            </a:rPr>
            <a:t>Solver</a:t>
          </a:r>
          <a:r>
            <a:rPr lang="en-US" sz="1800" b="0" baseline="0">
              <a:latin typeface="+mn-lt"/>
            </a:rPr>
            <a:t> to find the optimal shipping plan and the corresponding minimum total cost.</a:t>
          </a:r>
        </a:p>
        <a:p>
          <a:pPr algn="l"/>
          <a:endParaRPr lang="en-US" sz="1800" b="0" baseline="0">
            <a:latin typeface="+mn-lt"/>
          </a:endParaRPr>
        </a:p>
        <a:p>
          <a:pPr algn="l"/>
          <a:r>
            <a:rPr lang="en-US" sz="1800" b="0" baseline="0">
              <a:latin typeface="+mn-lt"/>
            </a:rPr>
            <a:t>b) Use </a:t>
          </a:r>
          <a:r>
            <a:rPr lang="en-US" sz="1800" b="0" u="sng" baseline="0">
              <a:latin typeface="+mn-lt"/>
            </a:rPr>
            <a:t>SolverTable</a:t>
          </a:r>
          <a:r>
            <a:rPr lang="en-US" sz="1800" b="0" baseline="0">
              <a:latin typeface="+mn-lt"/>
            </a:rPr>
            <a:t> to do sensitivity analysis of optimal total shipping cost with respect to limitation on rail capacity (20 to 100 at increments of 10).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17</xdr:col>
      <xdr:colOff>323850</xdr:colOff>
      <xdr:row>11</xdr:row>
      <xdr:rowOff>0</xdr:rowOff>
    </xdr:from>
    <xdr:to>
      <xdr:col>26</xdr:col>
      <xdr:colOff>266700</xdr:colOff>
      <xdr:row>37</xdr:row>
      <xdr:rowOff>161924</xdr:rowOff>
    </xdr:to>
    <xdr:sp macro="" textlink="">
      <xdr:nvSpPr>
        <xdr:cNvPr id="2" name="Rectangle 1">
          <a:extLst>
            <a:ext uri="{FF2B5EF4-FFF2-40B4-BE49-F238E27FC236}">
              <a16:creationId xmlns:a16="http://schemas.microsoft.com/office/drawing/2014/main" id="{7D6B04CC-48AA-470A-B0C6-C4361C7B69A8}"/>
            </a:ext>
          </a:extLst>
        </xdr:cNvPr>
        <xdr:cNvSpPr/>
      </xdr:nvSpPr>
      <xdr:spPr>
        <a:xfrm>
          <a:off x="16049625" y="2095500"/>
          <a:ext cx="5429250" cy="511492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a:latin typeface="+mn-lt"/>
            </a:rPr>
            <a:t>Recall the GreenFresh Foods transportation problem. </a:t>
          </a:r>
        </a:p>
        <a:p>
          <a:pPr algn="l"/>
          <a:r>
            <a:rPr lang="en-US" sz="1800" b="0">
              <a:latin typeface="+mn-lt"/>
            </a:rPr>
            <a:t>Management now wants to understand how well the (optimal) fixed plan performs when actual weekly demands fluctuate.</a:t>
          </a:r>
        </a:p>
        <a:p>
          <a:pPr algn="l"/>
          <a:endParaRPr lang="en-US" sz="1800" b="0">
            <a:latin typeface="+mn-lt"/>
          </a:endParaRPr>
        </a:p>
        <a:p>
          <a:pPr algn="l"/>
          <a:r>
            <a:rPr lang="en-US" sz="1800" b="0">
              <a:latin typeface="+mn-lt"/>
            </a:rPr>
            <a:t>Uncertainty in Weekly Demand: Assume that each week, the actual demand at each DC is a random variable that is Normal</a:t>
          </a:r>
          <a:r>
            <a:rPr lang="en-US" sz="1800" b="0" baseline="0">
              <a:latin typeface="+mn-lt"/>
            </a:rPr>
            <a:t> </a:t>
          </a:r>
          <a:r>
            <a:rPr lang="en-US" sz="1800" b="0">
              <a:latin typeface="+mn-lt"/>
            </a:rPr>
            <a:t> with</a:t>
          </a:r>
          <a:r>
            <a:rPr lang="en-US" sz="1800" b="0" baseline="0">
              <a:latin typeface="+mn-lt"/>
            </a:rPr>
            <a:t> the original value as the mean and the standard deviation of 1 ton. </a:t>
          </a:r>
        </a:p>
        <a:p>
          <a:pPr algn="l"/>
          <a:endParaRPr lang="en-US" sz="1800" b="0" baseline="0">
            <a:latin typeface="+mn-lt"/>
          </a:endParaRPr>
        </a:p>
        <a:p>
          <a:pPr algn="l"/>
          <a:r>
            <a:rPr lang="en-US" sz="1800" b="0" baseline="0">
              <a:latin typeface="+mn-lt"/>
            </a:rPr>
            <a:t>Because the shipping plan is fixed, in some weeks you may ship more than demand (creating surplus inventory) and in other weeks demand may exceed shipments (creating shortages). Assume for each DC the holding cost for surplus is ℎ=$2per ton of surplus and shortage (stockout) penalty for unmet demand is 𝑝=$20per ton of shortage.</a:t>
          </a:r>
        </a:p>
        <a:p>
          <a:pPr algn="l"/>
          <a:r>
            <a:rPr lang="en-US" sz="1800" b="0" baseline="0">
              <a:latin typeface="+mn-lt"/>
            </a:rPr>
            <a:t> </a:t>
          </a:r>
        </a:p>
        <a:p>
          <a:pPr algn="l"/>
          <a:r>
            <a:rPr lang="en-US" sz="1800" b="0" baseline="0">
              <a:latin typeface="+mn-lt"/>
            </a:rPr>
            <a:t>a) set up the simulation by generating 1000 random numbers (from the corresponding Normal distribution for the demand of each DC), and calculating the amount of surplus or shortage and the associated cost. </a:t>
          </a:r>
        </a:p>
        <a:p>
          <a:pPr algn="l"/>
          <a:endParaRPr lang="en-US" sz="1800" b="0" baseline="0">
            <a:latin typeface="+mn-lt"/>
          </a:endParaRPr>
        </a:p>
        <a:p>
          <a:pPr algn="l"/>
          <a:r>
            <a:rPr lang="en-US" sz="1800" b="0" baseline="0">
              <a:latin typeface="+mn-lt"/>
            </a:rPr>
            <a:t>b) calculate the average and standard deviation of the additional cost of using the fixed shipping schedule under uncertainty in demand. </a:t>
          </a:r>
          <a:endParaRPr lang="en-US" sz="1800" b="0">
            <a:latin typeface="+mn-lt"/>
          </a:endParaRPr>
        </a:p>
        <a:p>
          <a:pPr algn="l"/>
          <a:endParaRPr lang="en-US" sz="1800" b="0">
            <a:latin typeface="+mn-lt"/>
          </a:endParaRPr>
        </a:p>
      </xdr:txBody>
    </xdr:sp>
    <xdr:clientData/>
  </xdr:twoCellAnchor>
  <xdr:twoCellAnchor>
    <xdr:from>
      <xdr:col>13</xdr:col>
      <xdr:colOff>76200</xdr:colOff>
      <xdr:row>40</xdr:row>
      <xdr:rowOff>180975</xdr:rowOff>
    </xdr:from>
    <xdr:to>
      <xdr:col>20</xdr:col>
      <xdr:colOff>381000</xdr:colOff>
      <xdr:row>55</xdr:row>
      <xdr:rowOff>66675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D171205-0A3E-4882-ADBF-F014161084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390620" y="7496175"/>
              <a:ext cx="4785360" cy="2628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9"/>
  <sheetViews>
    <sheetView topLeftCell="B22" workbookViewId="0">
      <selection activeCell="F1" sqref="A1:F149"/>
    </sheetView>
  </sheetViews>
  <sheetFormatPr defaultRowHeight="14.4" x14ac:dyDescent="0.3"/>
  <cols>
    <col min="1" max="1" width="6.5546875" bestFit="1" customWidth="1"/>
    <col min="2" max="2" width="11.88671875" bestFit="1" customWidth="1"/>
    <col min="3" max="3" width="15.6640625" bestFit="1" customWidth="1"/>
    <col min="4" max="4" width="11.5546875" bestFit="1" customWidth="1"/>
    <col min="5" max="5" width="10" bestFit="1" customWidth="1"/>
    <col min="6" max="6" width="10.5546875" bestFit="1" customWidth="1"/>
  </cols>
  <sheetData>
    <row r="1" spans="1:6" x14ac:dyDescent="0.3">
      <c r="A1" s="1" t="s">
        <v>0</v>
      </c>
      <c r="B1" s="2" t="s">
        <v>2</v>
      </c>
      <c r="C1" s="2" t="s">
        <v>1</v>
      </c>
      <c r="D1" s="2" t="s">
        <v>3</v>
      </c>
      <c r="E1" s="2" t="s">
        <v>4</v>
      </c>
      <c r="F1" s="2" t="s">
        <v>5</v>
      </c>
    </row>
    <row r="2" spans="1:6" x14ac:dyDescent="0.3">
      <c r="A2" s="3">
        <v>1</v>
      </c>
      <c r="B2" s="4">
        <v>121870</v>
      </c>
      <c r="C2" s="4">
        <v>119370</v>
      </c>
      <c r="D2" s="5">
        <v>2050</v>
      </c>
      <c r="E2" s="6">
        <v>4</v>
      </c>
      <c r="F2" s="6">
        <v>5</v>
      </c>
    </row>
    <row r="3" spans="1:6" x14ac:dyDescent="0.3">
      <c r="A3" s="3">
        <v>2</v>
      </c>
      <c r="B3" s="4">
        <v>150250</v>
      </c>
      <c r="C3" s="4">
        <v>148930</v>
      </c>
      <c r="D3" s="5">
        <v>2200</v>
      </c>
      <c r="E3" s="6">
        <v>4</v>
      </c>
      <c r="F3" s="6">
        <v>4</v>
      </c>
    </row>
    <row r="4" spans="1:6" x14ac:dyDescent="0.3">
      <c r="A4" s="3">
        <v>3</v>
      </c>
      <c r="B4" s="4">
        <v>122780</v>
      </c>
      <c r="C4" s="4">
        <v>130389.99999999999</v>
      </c>
      <c r="D4" s="5">
        <v>1590</v>
      </c>
      <c r="E4" s="6">
        <v>3</v>
      </c>
      <c r="F4" s="6">
        <v>3</v>
      </c>
    </row>
    <row r="5" spans="1:6" x14ac:dyDescent="0.3">
      <c r="A5" s="3">
        <v>4</v>
      </c>
      <c r="B5" s="4">
        <v>144350</v>
      </c>
      <c r="C5" s="4">
        <v>135700</v>
      </c>
      <c r="D5" s="5">
        <v>1860.0000000000002</v>
      </c>
      <c r="E5" s="6">
        <v>3</v>
      </c>
      <c r="F5" s="6">
        <v>3</v>
      </c>
    </row>
    <row r="6" spans="1:6" x14ac:dyDescent="0.3">
      <c r="A6" s="3">
        <v>5</v>
      </c>
      <c r="B6" s="4">
        <v>116200</v>
      </c>
      <c r="C6" s="4">
        <v>126300</v>
      </c>
      <c r="D6" s="5">
        <v>1210</v>
      </c>
      <c r="E6" s="6">
        <v>2</v>
      </c>
      <c r="F6" s="6">
        <v>3</v>
      </c>
    </row>
    <row r="7" spans="1:6" x14ac:dyDescent="0.3">
      <c r="A7" s="3">
        <v>6</v>
      </c>
      <c r="B7" s="4">
        <v>139490</v>
      </c>
      <c r="C7" s="4">
        <v>137080</v>
      </c>
      <c r="D7" s="5">
        <v>1710.0000000000002</v>
      </c>
      <c r="E7" s="6">
        <v>3</v>
      </c>
      <c r="F7" s="6">
        <v>2</v>
      </c>
    </row>
    <row r="8" spans="1:6" x14ac:dyDescent="0.3">
      <c r="A8" s="3">
        <v>7</v>
      </c>
      <c r="B8" s="4">
        <v>115730</v>
      </c>
      <c r="C8" s="4">
        <v>123490</v>
      </c>
      <c r="D8" s="5">
        <v>1670</v>
      </c>
      <c r="E8" s="6">
        <v>3</v>
      </c>
      <c r="F8" s="6">
        <v>3</v>
      </c>
    </row>
    <row r="9" spans="1:6" x14ac:dyDescent="0.3">
      <c r="A9" s="3">
        <v>8</v>
      </c>
      <c r="B9" s="4">
        <v>140590</v>
      </c>
      <c r="C9" s="4">
        <v>150830</v>
      </c>
      <c r="D9" s="5">
        <v>1780</v>
      </c>
      <c r="E9" s="6">
        <v>3</v>
      </c>
      <c r="F9" s="6">
        <v>4</v>
      </c>
    </row>
    <row r="10" spans="1:6" x14ac:dyDescent="0.3">
      <c r="A10" s="3">
        <v>9</v>
      </c>
      <c r="B10" s="4">
        <v>120290</v>
      </c>
      <c r="C10" s="4">
        <v>123480</v>
      </c>
      <c r="D10" s="5">
        <v>1520</v>
      </c>
      <c r="E10" s="6">
        <v>4</v>
      </c>
      <c r="F10" s="6">
        <v>4</v>
      </c>
    </row>
    <row r="11" spans="1:6" x14ac:dyDescent="0.3">
      <c r="A11" s="3">
        <v>10</v>
      </c>
      <c r="B11" s="4">
        <v>147250</v>
      </c>
      <c r="C11" s="4">
        <v>132050</v>
      </c>
      <c r="D11" s="5">
        <v>1830</v>
      </c>
      <c r="E11" s="6">
        <v>2</v>
      </c>
      <c r="F11" s="6">
        <v>3</v>
      </c>
    </row>
    <row r="12" spans="1:6" x14ac:dyDescent="0.3">
      <c r="A12" s="3">
        <v>11</v>
      </c>
      <c r="B12" s="4">
        <v>152260</v>
      </c>
      <c r="C12" s="4">
        <v>148210</v>
      </c>
      <c r="D12" s="5">
        <v>1700</v>
      </c>
      <c r="E12" s="6">
        <v>3</v>
      </c>
      <c r="F12" s="6">
        <v>3</v>
      </c>
    </row>
    <row r="13" spans="1:6" x14ac:dyDescent="0.3">
      <c r="A13" s="3">
        <v>12</v>
      </c>
      <c r="B13" s="4">
        <v>144800</v>
      </c>
      <c r="C13" s="4">
        <v>139530</v>
      </c>
      <c r="D13" s="5">
        <v>1720</v>
      </c>
      <c r="E13" s="6">
        <v>3</v>
      </c>
      <c r="F13" s="6">
        <v>4</v>
      </c>
    </row>
    <row r="14" spans="1:6" x14ac:dyDescent="0.3">
      <c r="A14" s="3">
        <v>13</v>
      </c>
      <c r="B14" s="4">
        <v>107060</v>
      </c>
      <c r="C14" s="4">
        <v>114340</v>
      </c>
      <c r="D14" s="5">
        <v>1670</v>
      </c>
      <c r="E14" s="6">
        <v>3</v>
      </c>
      <c r="F14" s="6">
        <v>4</v>
      </c>
    </row>
    <row r="15" spans="1:6" x14ac:dyDescent="0.3">
      <c r="A15" s="3">
        <v>14</v>
      </c>
      <c r="B15" s="4">
        <v>147470</v>
      </c>
      <c r="C15" s="4">
        <v>140040</v>
      </c>
      <c r="D15" s="5">
        <v>1650</v>
      </c>
      <c r="E15" s="6">
        <v>3</v>
      </c>
      <c r="F15" s="6">
        <v>3</v>
      </c>
    </row>
    <row r="16" spans="1:6" x14ac:dyDescent="0.3">
      <c r="A16" s="3">
        <v>15</v>
      </c>
      <c r="B16" s="4">
        <v>135120</v>
      </c>
      <c r="C16" s="4">
        <v>136010</v>
      </c>
      <c r="D16" s="5">
        <v>1610.0000000000002</v>
      </c>
      <c r="E16" s="6">
        <v>2</v>
      </c>
      <c r="F16" s="6">
        <v>1</v>
      </c>
    </row>
    <row r="17" spans="1:6" x14ac:dyDescent="0.3">
      <c r="A17" s="3">
        <v>16</v>
      </c>
      <c r="B17" s="4">
        <v>140240</v>
      </c>
      <c r="C17" s="4">
        <v>140930</v>
      </c>
      <c r="D17" s="5">
        <v>1570</v>
      </c>
      <c r="E17" s="6">
        <v>3</v>
      </c>
      <c r="F17" s="6">
        <v>4</v>
      </c>
    </row>
    <row r="18" spans="1:6" x14ac:dyDescent="0.3">
      <c r="A18" s="3">
        <v>17</v>
      </c>
      <c r="B18" s="4">
        <v>129889.99999999999</v>
      </c>
      <c r="C18" s="4">
        <v>132420</v>
      </c>
      <c r="D18" s="5">
        <v>1650</v>
      </c>
      <c r="E18" s="6">
        <v>4</v>
      </c>
      <c r="F18" s="6">
        <v>5</v>
      </c>
    </row>
    <row r="19" spans="1:6" x14ac:dyDescent="0.3">
      <c r="A19" s="3">
        <v>18</v>
      </c>
      <c r="B19" s="4">
        <v>121140</v>
      </c>
      <c r="C19" s="4">
        <v>118300</v>
      </c>
      <c r="D19" s="5">
        <v>1639.9999999999998</v>
      </c>
      <c r="E19" s="6">
        <v>3</v>
      </c>
      <c r="F19" s="6">
        <v>4</v>
      </c>
    </row>
    <row r="20" spans="1:6" x14ac:dyDescent="0.3">
      <c r="A20" s="3">
        <v>19</v>
      </c>
      <c r="B20" s="4">
        <v>111230</v>
      </c>
      <c r="C20" s="4">
        <v>122140</v>
      </c>
      <c r="D20" s="5">
        <v>1420</v>
      </c>
      <c r="E20" s="6">
        <v>2</v>
      </c>
      <c r="F20" s="6">
        <v>3</v>
      </c>
    </row>
    <row r="21" spans="1:6" x14ac:dyDescent="0.3">
      <c r="A21" s="3">
        <v>20</v>
      </c>
      <c r="B21" s="4">
        <v>145140</v>
      </c>
      <c r="C21" s="4">
        <v>149820</v>
      </c>
      <c r="D21" s="5">
        <v>2070</v>
      </c>
      <c r="E21" s="6">
        <v>4</v>
      </c>
      <c r="F21" s="6">
        <v>3</v>
      </c>
    </row>
    <row r="22" spans="1:6" x14ac:dyDescent="0.3">
      <c r="A22" s="3">
        <v>21</v>
      </c>
      <c r="B22" s="4">
        <v>139010</v>
      </c>
      <c r="C22" s="4">
        <v>128910</v>
      </c>
      <c r="D22" s="5">
        <v>1610.0000000000002</v>
      </c>
      <c r="E22" s="6">
        <v>2</v>
      </c>
      <c r="F22" s="6">
        <v>3</v>
      </c>
    </row>
    <row r="23" spans="1:6" x14ac:dyDescent="0.3">
      <c r="A23" s="3">
        <v>22</v>
      </c>
      <c r="B23" s="4">
        <v>129340</v>
      </c>
      <c r="C23" s="4">
        <v>134610</v>
      </c>
      <c r="D23" s="5">
        <v>1910.0000000000002</v>
      </c>
      <c r="E23" s="6">
        <v>4</v>
      </c>
      <c r="F23" s="6">
        <v>4</v>
      </c>
    </row>
    <row r="24" spans="1:6" x14ac:dyDescent="0.3">
      <c r="A24" s="3">
        <v>23</v>
      </c>
      <c r="B24" s="4">
        <v>113610</v>
      </c>
      <c r="C24" s="4">
        <v>121990</v>
      </c>
      <c r="D24" s="5">
        <v>1410</v>
      </c>
      <c r="E24" s="6">
        <v>2</v>
      </c>
      <c r="F24" s="6">
        <v>2</v>
      </c>
    </row>
    <row r="25" spans="1:6" x14ac:dyDescent="0.3">
      <c r="A25" s="3">
        <v>24</v>
      </c>
      <c r="B25" s="4">
        <v>141050</v>
      </c>
      <c r="C25" s="4">
        <v>150500</v>
      </c>
      <c r="D25" s="5">
        <v>1860.0000000000002</v>
      </c>
      <c r="E25" s="6">
        <v>4</v>
      </c>
      <c r="F25" s="6">
        <v>3</v>
      </c>
    </row>
    <row r="26" spans="1:6" x14ac:dyDescent="0.3">
      <c r="A26" s="3">
        <v>25</v>
      </c>
      <c r="B26" s="4">
        <v>152900</v>
      </c>
      <c r="C26" s="4">
        <v>142870</v>
      </c>
      <c r="D26" s="5">
        <v>1989.9999999999998</v>
      </c>
      <c r="E26" s="6">
        <v>4</v>
      </c>
      <c r="F26" s="6">
        <v>3</v>
      </c>
    </row>
    <row r="27" spans="1:6" x14ac:dyDescent="0.3">
      <c r="A27" s="3">
        <v>26</v>
      </c>
      <c r="B27" s="4">
        <v>157790</v>
      </c>
      <c r="C27" s="4">
        <v>155550</v>
      </c>
      <c r="D27" s="5">
        <v>2270</v>
      </c>
      <c r="E27" s="6">
        <v>5</v>
      </c>
      <c r="F27" s="6">
        <v>4</v>
      </c>
    </row>
    <row r="28" spans="1:6" x14ac:dyDescent="0.3">
      <c r="A28" s="3">
        <v>27</v>
      </c>
      <c r="B28" s="4">
        <v>135570</v>
      </c>
      <c r="C28" s="4">
        <v>128500</v>
      </c>
      <c r="D28" s="5">
        <v>1964.9999999999998</v>
      </c>
      <c r="E28" s="6">
        <v>4</v>
      </c>
      <c r="F28" s="6">
        <v>4</v>
      </c>
    </row>
    <row r="29" spans="1:6" x14ac:dyDescent="0.3">
      <c r="A29" s="3">
        <v>28</v>
      </c>
      <c r="B29" s="4">
        <v>151990</v>
      </c>
      <c r="C29" s="4">
        <v>143360</v>
      </c>
      <c r="D29" s="5">
        <v>1820</v>
      </c>
      <c r="E29" s="6">
        <v>3</v>
      </c>
      <c r="F29" s="6">
        <v>3</v>
      </c>
    </row>
    <row r="30" spans="1:6" x14ac:dyDescent="0.3">
      <c r="A30" s="3">
        <v>29</v>
      </c>
      <c r="B30" s="4">
        <v>120530</v>
      </c>
      <c r="C30" s="4">
        <v>119650</v>
      </c>
      <c r="D30" s="5">
        <v>1650</v>
      </c>
      <c r="E30" s="6">
        <v>3</v>
      </c>
      <c r="F30" s="6">
        <v>3</v>
      </c>
    </row>
    <row r="31" spans="1:6" x14ac:dyDescent="0.3">
      <c r="A31" s="3">
        <v>30</v>
      </c>
      <c r="B31" s="4">
        <v>118640</v>
      </c>
      <c r="C31" s="4">
        <v>122570</v>
      </c>
      <c r="D31" s="5">
        <v>1470</v>
      </c>
      <c r="E31" s="6">
        <v>2</v>
      </c>
      <c r="F31" s="6">
        <v>2</v>
      </c>
    </row>
    <row r="32" spans="1:6" x14ac:dyDescent="0.3">
      <c r="A32" s="3">
        <v>31</v>
      </c>
      <c r="B32" s="4">
        <v>149510</v>
      </c>
      <c r="C32" s="4">
        <v>145270</v>
      </c>
      <c r="D32" s="5">
        <v>1850</v>
      </c>
      <c r="E32" s="6">
        <v>4</v>
      </c>
      <c r="F32" s="6">
        <v>3</v>
      </c>
    </row>
    <row r="33" spans="1:6" x14ac:dyDescent="0.3">
      <c r="A33" s="3">
        <v>32</v>
      </c>
      <c r="B33" s="4">
        <v>146860</v>
      </c>
      <c r="C33" s="4">
        <v>149730</v>
      </c>
      <c r="D33" s="5">
        <v>2170</v>
      </c>
      <c r="E33" s="6">
        <v>4</v>
      </c>
      <c r="F33" s="6">
        <v>4</v>
      </c>
    </row>
    <row r="34" spans="1:6" x14ac:dyDescent="0.3">
      <c r="A34" s="3">
        <v>33</v>
      </c>
      <c r="B34" s="4">
        <v>143880</v>
      </c>
      <c r="C34" s="4">
        <v>147700</v>
      </c>
      <c r="D34" s="5">
        <v>1930</v>
      </c>
      <c r="E34" s="6">
        <v>3</v>
      </c>
      <c r="F34" s="6">
        <v>3</v>
      </c>
    </row>
    <row r="35" spans="1:6" x14ac:dyDescent="0.3">
      <c r="A35" s="3">
        <v>34</v>
      </c>
      <c r="B35" s="4">
        <v>118520</v>
      </c>
      <c r="C35" s="4">
        <v>117530</v>
      </c>
      <c r="D35" s="5">
        <v>1380</v>
      </c>
      <c r="E35" s="6">
        <v>2</v>
      </c>
      <c r="F35" s="6">
        <v>1</v>
      </c>
    </row>
    <row r="36" spans="1:6" x14ac:dyDescent="0.3">
      <c r="A36" s="3">
        <v>35</v>
      </c>
      <c r="B36" s="4">
        <v>146070</v>
      </c>
      <c r="C36" s="4">
        <v>140130</v>
      </c>
      <c r="D36" s="5">
        <v>1810.0000000000002</v>
      </c>
      <c r="E36" s="6">
        <v>3</v>
      </c>
      <c r="F36" s="6">
        <v>4</v>
      </c>
    </row>
    <row r="37" spans="1:6" x14ac:dyDescent="0.3">
      <c r="A37" s="3">
        <v>36</v>
      </c>
      <c r="B37" s="4">
        <v>135350</v>
      </c>
      <c r="C37" s="4">
        <v>136570</v>
      </c>
      <c r="D37" s="5">
        <v>1760.0000000000002</v>
      </c>
      <c r="E37" s="6">
        <v>3</v>
      </c>
      <c r="F37" s="6">
        <v>4</v>
      </c>
    </row>
    <row r="38" spans="1:6" x14ac:dyDescent="0.3">
      <c r="A38" s="3">
        <v>37</v>
      </c>
      <c r="B38" s="4">
        <v>121540</v>
      </c>
      <c r="C38" s="4">
        <v>130440</v>
      </c>
      <c r="D38" s="5">
        <v>1530</v>
      </c>
      <c r="E38" s="6">
        <v>2</v>
      </c>
      <c r="F38" s="6">
        <v>3</v>
      </c>
    </row>
    <row r="39" spans="1:6" x14ac:dyDescent="0.3">
      <c r="A39" s="3">
        <v>38</v>
      </c>
      <c r="B39" s="4">
        <v>132980</v>
      </c>
      <c r="C39" s="4">
        <v>118130</v>
      </c>
      <c r="D39" s="5">
        <v>1700</v>
      </c>
      <c r="E39" s="6">
        <v>3</v>
      </c>
      <c r="F39" s="6">
        <v>2</v>
      </c>
    </row>
    <row r="40" spans="1:6" x14ac:dyDescent="0.3">
      <c r="A40" s="3">
        <v>39</v>
      </c>
      <c r="B40" s="4">
        <v>147530</v>
      </c>
      <c r="C40" s="4">
        <v>130979.99999999999</v>
      </c>
      <c r="D40" s="5">
        <v>1980</v>
      </c>
      <c r="E40" s="6">
        <v>4</v>
      </c>
      <c r="F40" s="6">
        <v>4</v>
      </c>
    </row>
    <row r="41" spans="1:6" x14ac:dyDescent="0.3">
      <c r="A41" s="3">
        <v>40</v>
      </c>
      <c r="B41" s="4">
        <v>128490.00000000001</v>
      </c>
      <c r="C41" s="4">
        <v>131330</v>
      </c>
      <c r="D41" s="5">
        <v>1590</v>
      </c>
      <c r="E41" s="6">
        <v>2</v>
      </c>
      <c r="F41" s="6">
        <v>2</v>
      </c>
    </row>
    <row r="42" spans="1:6" x14ac:dyDescent="0.3">
      <c r="A42" s="3">
        <v>41</v>
      </c>
      <c r="B42" s="4">
        <v>141930</v>
      </c>
      <c r="C42" s="4">
        <v>141100</v>
      </c>
      <c r="D42" s="5">
        <v>1739.9999999999998</v>
      </c>
      <c r="E42" s="6">
        <v>3</v>
      </c>
      <c r="F42" s="6">
        <v>2</v>
      </c>
    </row>
    <row r="43" spans="1:6" x14ac:dyDescent="0.3">
      <c r="A43" s="3">
        <v>42</v>
      </c>
      <c r="B43" s="4">
        <v>123550</v>
      </c>
      <c r="C43" s="4">
        <v>117870</v>
      </c>
      <c r="D43" s="5">
        <v>1730</v>
      </c>
      <c r="E43" s="6">
        <v>3</v>
      </c>
      <c r="F43" s="6">
        <v>2</v>
      </c>
    </row>
    <row r="44" spans="1:6" x14ac:dyDescent="0.3">
      <c r="A44" s="3">
        <v>43</v>
      </c>
      <c r="B44" s="4">
        <v>162030</v>
      </c>
      <c r="C44" s="4">
        <v>160580</v>
      </c>
      <c r="D44" s="5">
        <v>2100</v>
      </c>
      <c r="E44" s="6">
        <v>5</v>
      </c>
      <c r="F44" s="6">
        <v>6</v>
      </c>
    </row>
    <row r="45" spans="1:6" x14ac:dyDescent="0.3">
      <c r="A45" s="3">
        <v>44</v>
      </c>
      <c r="B45" s="4">
        <v>157390</v>
      </c>
      <c r="C45" s="4">
        <v>151100</v>
      </c>
      <c r="D45" s="5">
        <v>2039.9999999999998</v>
      </c>
      <c r="E45" s="6">
        <v>4</v>
      </c>
      <c r="F45" s="6">
        <v>4</v>
      </c>
    </row>
    <row r="46" spans="1:6" x14ac:dyDescent="0.3">
      <c r="A46" s="3">
        <v>45</v>
      </c>
      <c r="B46" s="4">
        <v>114550</v>
      </c>
      <c r="C46" s="4">
        <v>120150</v>
      </c>
      <c r="D46" s="5">
        <v>1730</v>
      </c>
      <c r="E46" s="6">
        <v>2</v>
      </c>
      <c r="F46" s="6">
        <v>1</v>
      </c>
    </row>
    <row r="47" spans="1:6" x14ac:dyDescent="0.3">
      <c r="A47" s="3">
        <v>46</v>
      </c>
      <c r="B47" s="4">
        <v>139540</v>
      </c>
      <c r="C47" s="4">
        <v>133170</v>
      </c>
      <c r="D47" s="5">
        <v>1680</v>
      </c>
      <c r="E47" s="6">
        <v>2</v>
      </c>
      <c r="F47" s="6">
        <v>2</v>
      </c>
    </row>
    <row r="48" spans="1:6" x14ac:dyDescent="0.3">
      <c r="A48" s="3">
        <v>47</v>
      </c>
      <c r="B48" s="4">
        <v>149920</v>
      </c>
      <c r="C48" s="4">
        <v>140160</v>
      </c>
      <c r="D48" s="5">
        <v>2050</v>
      </c>
      <c r="E48" s="6">
        <v>4</v>
      </c>
      <c r="F48" s="6">
        <v>4</v>
      </c>
    </row>
    <row r="49" spans="1:6" x14ac:dyDescent="0.3">
      <c r="A49" s="3">
        <v>48</v>
      </c>
      <c r="B49" s="4">
        <v>122080</v>
      </c>
      <c r="C49" s="4">
        <v>124560</v>
      </c>
      <c r="D49" s="5">
        <v>1750</v>
      </c>
      <c r="E49" s="6">
        <v>3</v>
      </c>
      <c r="F49" s="6">
        <v>3</v>
      </c>
    </row>
    <row r="50" spans="1:6" x14ac:dyDescent="0.3">
      <c r="A50" s="3">
        <v>49</v>
      </c>
      <c r="B50" s="4">
        <v>136510</v>
      </c>
      <c r="C50" s="4">
        <v>127970</v>
      </c>
      <c r="D50" s="5">
        <v>1870</v>
      </c>
      <c r="E50" s="6">
        <v>4</v>
      </c>
      <c r="F50" s="6">
        <v>3</v>
      </c>
    </row>
    <row r="51" spans="1:6" x14ac:dyDescent="0.3">
      <c r="A51" s="3">
        <v>50</v>
      </c>
      <c r="B51" s="4">
        <v>109410</v>
      </c>
      <c r="C51" s="4">
        <v>101930</v>
      </c>
      <c r="D51" s="5">
        <v>1330</v>
      </c>
      <c r="E51" s="6">
        <v>2</v>
      </c>
      <c r="F51" s="6">
        <v>3</v>
      </c>
    </row>
    <row r="52" spans="1:6" x14ac:dyDescent="0.3">
      <c r="A52" s="3">
        <v>51</v>
      </c>
      <c r="B52" s="4">
        <v>127290</v>
      </c>
      <c r="C52" s="4">
        <v>131470</v>
      </c>
      <c r="D52" s="5">
        <v>1700</v>
      </c>
      <c r="E52" s="6">
        <v>3</v>
      </c>
      <c r="F52" s="6">
        <v>3</v>
      </c>
    </row>
    <row r="53" spans="1:6" x14ac:dyDescent="0.3">
      <c r="A53" s="3">
        <v>52</v>
      </c>
      <c r="B53" s="4">
        <v>120450</v>
      </c>
      <c r="C53" s="4">
        <v>121270</v>
      </c>
      <c r="D53" s="5">
        <v>1460</v>
      </c>
      <c r="E53" s="6">
        <v>2</v>
      </c>
      <c r="F53" s="6">
        <v>3</v>
      </c>
    </row>
    <row r="54" spans="1:6" x14ac:dyDescent="0.3">
      <c r="A54" s="3">
        <v>53</v>
      </c>
      <c r="B54" s="4">
        <v>151960</v>
      </c>
      <c r="C54" s="4">
        <v>143550</v>
      </c>
      <c r="D54" s="5">
        <v>1910.0000000000002</v>
      </c>
      <c r="E54" s="6">
        <v>3</v>
      </c>
      <c r="F54" s="6">
        <v>3</v>
      </c>
    </row>
    <row r="55" spans="1:6" x14ac:dyDescent="0.3">
      <c r="A55" s="3">
        <v>54</v>
      </c>
      <c r="B55" s="4">
        <v>132540</v>
      </c>
      <c r="C55" s="4">
        <v>136890</v>
      </c>
      <c r="D55" s="5">
        <v>1610.0000000000002</v>
      </c>
      <c r="E55" s="6">
        <v>2</v>
      </c>
      <c r="F55" s="6">
        <v>1</v>
      </c>
    </row>
    <row r="56" spans="1:6" x14ac:dyDescent="0.3">
      <c r="A56" s="3">
        <v>55</v>
      </c>
      <c r="B56" s="4">
        <v>114330</v>
      </c>
      <c r="C56" s="4">
        <v>106110</v>
      </c>
      <c r="D56" s="5">
        <v>1470</v>
      </c>
      <c r="E56" s="6">
        <v>2</v>
      </c>
      <c r="F56" s="6">
        <v>1</v>
      </c>
    </row>
    <row r="57" spans="1:6" x14ac:dyDescent="0.3">
      <c r="A57" s="3">
        <v>56</v>
      </c>
      <c r="B57" s="4">
        <v>141320</v>
      </c>
      <c r="C57" s="4">
        <v>137540</v>
      </c>
      <c r="D57" s="5">
        <v>1810.0000000000002</v>
      </c>
      <c r="E57" s="6">
        <v>3</v>
      </c>
      <c r="F57" s="6">
        <v>4</v>
      </c>
    </row>
    <row r="58" spans="1:6" x14ac:dyDescent="0.3">
      <c r="A58" s="3">
        <v>57</v>
      </c>
      <c r="B58" s="4">
        <v>83760</v>
      </c>
      <c r="C58" s="4">
        <v>134330</v>
      </c>
      <c r="D58" s="5">
        <v>1650</v>
      </c>
      <c r="E58" s="6">
        <v>2</v>
      </c>
      <c r="F58" s="6">
        <v>2</v>
      </c>
    </row>
    <row r="59" spans="1:6" x14ac:dyDescent="0.3">
      <c r="A59" s="3">
        <v>58</v>
      </c>
      <c r="B59" s="4">
        <v>118200</v>
      </c>
      <c r="C59" s="4">
        <v>127590</v>
      </c>
      <c r="D59" s="5">
        <v>1520</v>
      </c>
      <c r="E59" s="6">
        <v>2</v>
      </c>
      <c r="F59" s="6">
        <v>1</v>
      </c>
    </row>
    <row r="60" spans="1:6" x14ac:dyDescent="0.3">
      <c r="A60" s="3">
        <v>59</v>
      </c>
      <c r="B60" s="4">
        <v>140200</v>
      </c>
      <c r="C60" s="4">
        <v>137440</v>
      </c>
      <c r="D60" s="5">
        <v>1920</v>
      </c>
      <c r="E60" s="6">
        <v>4</v>
      </c>
      <c r="F60" s="6">
        <v>5</v>
      </c>
    </row>
    <row r="61" spans="1:6" x14ac:dyDescent="0.3">
      <c r="A61" s="3">
        <v>60</v>
      </c>
      <c r="B61" s="4">
        <v>113550</v>
      </c>
      <c r="C61" s="4">
        <v>114090</v>
      </c>
      <c r="D61" s="5">
        <v>1410</v>
      </c>
      <c r="E61" s="6">
        <v>2</v>
      </c>
      <c r="F61" s="6">
        <v>1</v>
      </c>
    </row>
    <row r="62" spans="1:6" x14ac:dyDescent="0.3">
      <c r="A62" s="3">
        <v>61</v>
      </c>
      <c r="B62" s="4">
        <v>156520</v>
      </c>
      <c r="C62" s="4">
        <v>145460</v>
      </c>
      <c r="D62" s="5">
        <v>2030</v>
      </c>
      <c r="E62" s="6">
        <v>3</v>
      </c>
      <c r="F62" s="6">
        <v>3</v>
      </c>
    </row>
    <row r="63" spans="1:6" x14ac:dyDescent="0.3">
      <c r="A63" s="3">
        <v>62</v>
      </c>
      <c r="B63" s="4">
        <v>137350</v>
      </c>
      <c r="C63" s="4">
        <v>141900</v>
      </c>
      <c r="D63" s="5">
        <v>1950</v>
      </c>
      <c r="E63" s="6">
        <v>3</v>
      </c>
      <c r="F63" s="6">
        <v>4</v>
      </c>
    </row>
    <row r="64" spans="1:6" x14ac:dyDescent="0.3">
      <c r="A64" s="3">
        <v>63</v>
      </c>
      <c r="B64" s="4">
        <v>110610</v>
      </c>
      <c r="C64" s="4">
        <v>116340</v>
      </c>
      <c r="D64" s="5">
        <v>1340</v>
      </c>
      <c r="E64" s="6">
        <v>2</v>
      </c>
      <c r="F64" s="6">
        <v>1</v>
      </c>
    </row>
    <row r="65" spans="1:6" x14ac:dyDescent="0.3">
      <c r="A65" s="3">
        <v>64</v>
      </c>
      <c r="B65" s="4">
        <v>153690</v>
      </c>
      <c r="C65" s="4">
        <v>149200</v>
      </c>
      <c r="D65" s="5">
        <v>1850</v>
      </c>
      <c r="E65" s="6">
        <v>3</v>
      </c>
      <c r="F65" s="6">
        <v>4</v>
      </c>
    </row>
    <row r="66" spans="1:6" x14ac:dyDescent="0.3">
      <c r="A66" s="3">
        <v>65</v>
      </c>
      <c r="B66" s="4">
        <v>153330</v>
      </c>
      <c r="C66" s="4">
        <v>141810</v>
      </c>
      <c r="D66" s="5">
        <v>1780</v>
      </c>
      <c r="E66" s="6">
        <v>3</v>
      </c>
      <c r="F66" s="6">
        <v>2</v>
      </c>
    </row>
    <row r="67" spans="1:6" x14ac:dyDescent="0.3">
      <c r="A67" s="3">
        <v>66</v>
      </c>
      <c r="B67" s="4">
        <v>111950</v>
      </c>
      <c r="C67" s="4">
        <v>116440</v>
      </c>
      <c r="D67" s="5">
        <v>1440</v>
      </c>
      <c r="E67" s="6">
        <v>2</v>
      </c>
      <c r="F67" s="6">
        <v>1</v>
      </c>
    </row>
    <row r="68" spans="1:6" x14ac:dyDescent="0.3">
      <c r="A68" s="3">
        <v>67</v>
      </c>
      <c r="B68" s="4">
        <v>143460</v>
      </c>
      <c r="C68" s="4">
        <v>137740</v>
      </c>
      <c r="D68" s="5">
        <v>2039.9999999999998</v>
      </c>
      <c r="E68" s="6">
        <v>4</v>
      </c>
      <c r="F68" s="6">
        <v>4</v>
      </c>
    </row>
    <row r="69" spans="1:6" x14ac:dyDescent="0.3">
      <c r="A69" s="3">
        <v>68</v>
      </c>
      <c r="B69" s="4">
        <v>142130</v>
      </c>
      <c r="C69" s="4">
        <v>144700</v>
      </c>
      <c r="D69" s="5">
        <v>2160</v>
      </c>
      <c r="E69" s="6">
        <v>5</v>
      </c>
      <c r="F69" s="6">
        <v>4</v>
      </c>
    </row>
    <row r="70" spans="1:6" x14ac:dyDescent="0.3">
      <c r="A70" s="3">
        <v>69</v>
      </c>
      <c r="B70" s="4">
        <v>155460</v>
      </c>
      <c r="C70" s="4">
        <v>149660</v>
      </c>
      <c r="D70" s="5">
        <v>2170</v>
      </c>
      <c r="E70" s="6">
        <v>4</v>
      </c>
      <c r="F70" s="6">
        <v>3</v>
      </c>
    </row>
    <row r="71" spans="1:6" x14ac:dyDescent="0.3">
      <c r="A71" s="3">
        <v>70</v>
      </c>
      <c r="B71" s="4">
        <v>135440</v>
      </c>
      <c r="C71" s="4">
        <v>118170</v>
      </c>
      <c r="D71" s="5">
        <v>1710.0000000000002</v>
      </c>
      <c r="E71" s="6">
        <v>2</v>
      </c>
      <c r="F71" s="6">
        <v>3</v>
      </c>
    </row>
    <row r="72" spans="1:6" x14ac:dyDescent="0.3">
      <c r="A72" s="3">
        <v>71</v>
      </c>
      <c r="B72" s="4">
        <v>127300</v>
      </c>
      <c r="C72" s="4">
        <v>137660</v>
      </c>
      <c r="D72" s="5">
        <v>1639.9999999999998</v>
      </c>
      <c r="E72" s="6">
        <v>3</v>
      </c>
      <c r="F72" s="6">
        <v>2</v>
      </c>
    </row>
    <row r="73" spans="1:6" x14ac:dyDescent="0.3">
      <c r="A73" s="3">
        <v>72</v>
      </c>
      <c r="B73" s="4">
        <v>113770</v>
      </c>
      <c r="C73" s="4">
        <v>119700</v>
      </c>
      <c r="D73" s="5">
        <v>1380</v>
      </c>
      <c r="E73" s="6">
        <v>2</v>
      </c>
      <c r="F73" s="6">
        <v>1</v>
      </c>
    </row>
    <row r="74" spans="1:6" x14ac:dyDescent="0.3">
      <c r="A74" s="3">
        <v>73</v>
      </c>
      <c r="B74" s="4">
        <v>141110</v>
      </c>
      <c r="C74" s="4">
        <v>143120</v>
      </c>
      <c r="D74" s="5">
        <v>2100</v>
      </c>
      <c r="E74" s="6">
        <v>5</v>
      </c>
      <c r="F74" s="6">
        <v>6</v>
      </c>
    </row>
    <row r="75" spans="1:6" x14ac:dyDescent="0.3">
      <c r="A75" s="3">
        <v>74</v>
      </c>
      <c r="B75" s="4">
        <v>130080.00000000001</v>
      </c>
      <c r="C75" s="4">
        <v>129910</v>
      </c>
      <c r="D75" s="5">
        <v>1610.0000000000002</v>
      </c>
      <c r="E75" s="6">
        <v>2</v>
      </c>
      <c r="F75" s="6">
        <v>2</v>
      </c>
    </row>
    <row r="76" spans="1:6" x14ac:dyDescent="0.3">
      <c r="A76" s="3">
        <v>75</v>
      </c>
      <c r="B76" s="4">
        <v>139350</v>
      </c>
      <c r="C76" s="4">
        <v>141780</v>
      </c>
      <c r="D76" s="5">
        <v>1950</v>
      </c>
      <c r="E76" s="6">
        <v>4</v>
      </c>
      <c r="F76" s="6">
        <v>4</v>
      </c>
    </row>
    <row r="77" spans="1:6" x14ac:dyDescent="0.3">
      <c r="A77" s="3">
        <v>76</v>
      </c>
      <c r="B77" s="4">
        <v>160030</v>
      </c>
      <c r="C77" s="4">
        <v>159190</v>
      </c>
      <c r="D77" s="5">
        <v>2080</v>
      </c>
      <c r="E77" s="6">
        <v>5</v>
      </c>
      <c r="F77" s="6">
        <v>4</v>
      </c>
    </row>
    <row r="78" spans="1:6" x14ac:dyDescent="0.3">
      <c r="A78" s="3">
        <v>77</v>
      </c>
      <c r="B78" s="4">
        <v>152840</v>
      </c>
      <c r="C78" s="4">
        <v>156130</v>
      </c>
      <c r="D78" s="5">
        <v>1960.0000000000002</v>
      </c>
      <c r="E78" s="6">
        <v>3</v>
      </c>
      <c r="F78" s="6">
        <v>2</v>
      </c>
    </row>
    <row r="79" spans="1:6" x14ac:dyDescent="0.3">
      <c r="A79" s="3">
        <v>78</v>
      </c>
      <c r="B79" s="4">
        <v>122270</v>
      </c>
      <c r="C79" s="4">
        <v>126720</v>
      </c>
      <c r="D79" s="5">
        <v>1920</v>
      </c>
      <c r="E79" s="6">
        <v>4</v>
      </c>
      <c r="F79" s="6">
        <v>4</v>
      </c>
    </row>
    <row r="80" spans="1:6" x14ac:dyDescent="0.3">
      <c r="A80" s="3">
        <v>79</v>
      </c>
      <c r="B80" s="4">
        <v>145880</v>
      </c>
      <c r="C80" s="4">
        <v>133220</v>
      </c>
      <c r="D80" s="5">
        <v>1920</v>
      </c>
      <c r="E80" s="6">
        <v>4</v>
      </c>
      <c r="F80" s="6">
        <v>3</v>
      </c>
    </row>
    <row r="81" spans="1:6" x14ac:dyDescent="0.3">
      <c r="A81" s="3">
        <v>80</v>
      </c>
      <c r="B81" s="4">
        <v>115470</v>
      </c>
      <c r="C81" s="4">
        <v>118090</v>
      </c>
      <c r="D81" s="5">
        <v>1490</v>
      </c>
      <c r="E81" s="6">
        <v>2</v>
      </c>
      <c r="F81" s="6">
        <v>1</v>
      </c>
    </row>
    <row r="82" spans="1:6" x14ac:dyDescent="0.3">
      <c r="A82" s="3">
        <v>81</v>
      </c>
      <c r="B82" s="4">
        <v>135720</v>
      </c>
      <c r="C82" s="4">
        <v>141630</v>
      </c>
      <c r="D82" s="5">
        <v>1600</v>
      </c>
      <c r="E82" s="6">
        <v>2</v>
      </c>
      <c r="F82" s="6">
        <v>1</v>
      </c>
    </row>
    <row r="83" spans="1:6" x14ac:dyDescent="0.3">
      <c r="A83" s="3">
        <v>82</v>
      </c>
      <c r="B83" s="4">
        <v>136160</v>
      </c>
      <c r="C83" s="4">
        <v>138560</v>
      </c>
      <c r="D83" s="5">
        <v>1650</v>
      </c>
      <c r="E83" s="6">
        <v>3</v>
      </c>
      <c r="F83" s="6">
        <v>2</v>
      </c>
    </row>
    <row r="84" spans="1:6" x14ac:dyDescent="0.3">
      <c r="A84" s="3">
        <v>83</v>
      </c>
      <c r="B84" s="4">
        <v>144920</v>
      </c>
      <c r="C84" s="4">
        <v>134100</v>
      </c>
      <c r="D84" s="5">
        <v>1889.9999999999998</v>
      </c>
      <c r="E84" s="6">
        <v>4</v>
      </c>
      <c r="F84" s="6">
        <v>5</v>
      </c>
    </row>
    <row r="85" spans="1:6" x14ac:dyDescent="0.3">
      <c r="A85" s="3">
        <v>84</v>
      </c>
      <c r="B85" s="4">
        <v>131290</v>
      </c>
      <c r="C85" s="4">
        <v>132240</v>
      </c>
      <c r="D85" s="5">
        <v>1620</v>
      </c>
      <c r="E85" s="6">
        <v>3</v>
      </c>
      <c r="F85" s="6">
        <v>4</v>
      </c>
    </row>
    <row r="86" spans="1:6" x14ac:dyDescent="0.3">
      <c r="A86" s="3">
        <v>85</v>
      </c>
      <c r="B86" s="4">
        <v>138530</v>
      </c>
      <c r="C86" s="4">
        <v>145820</v>
      </c>
      <c r="D86" s="5">
        <v>1820</v>
      </c>
      <c r="E86" s="6">
        <v>3</v>
      </c>
      <c r="F86" s="6">
        <v>4</v>
      </c>
    </row>
    <row r="87" spans="1:6" x14ac:dyDescent="0.3">
      <c r="A87" s="3">
        <v>86</v>
      </c>
      <c r="B87" s="4">
        <v>124050</v>
      </c>
      <c r="C87" s="4">
        <v>127150</v>
      </c>
      <c r="D87" s="5">
        <v>1750</v>
      </c>
      <c r="E87" s="6">
        <v>3</v>
      </c>
      <c r="F87" s="6">
        <v>2</v>
      </c>
    </row>
    <row r="88" spans="1:6" x14ac:dyDescent="0.3">
      <c r="A88" s="3">
        <v>87</v>
      </c>
      <c r="B88" s="4">
        <v>107900</v>
      </c>
      <c r="C88" s="4">
        <v>105070</v>
      </c>
      <c r="D88" s="5">
        <v>1460</v>
      </c>
      <c r="E88" s="6">
        <v>2</v>
      </c>
      <c r="F88" s="6">
        <v>1</v>
      </c>
    </row>
    <row r="89" spans="1:6" x14ac:dyDescent="0.3">
      <c r="A89" s="3">
        <v>88</v>
      </c>
      <c r="B89" s="4">
        <v>123450</v>
      </c>
      <c r="C89" s="4">
        <v>127200</v>
      </c>
      <c r="D89" s="5">
        <v>1530</v>
      </c>
      <c r="E89" s="6">
        <v>3</v>
      </c>
      <c r="F89" s="6">
        <v>2</v>
      </c>
    </row>
    <row r="90" spans="1:6" x14ac:dyDescent="0.3">
      <c r="A90" s="3">
        <v>89</v>
      </c>
      <c r="B90" s="4">
        <v>111700</v>
      </c>
      <c r="C90" s="4">
        <v>111560</v>
      </c>
      <c r="D90" s="5">
        <v>1540</v>
      </c>
      <c r="E90" s="6">
        <v>2</v>
      </c>
      <c r="F90" s="6">
        <v>3</v>
      </c>
    </row>
    <row r="91" spans="1:6" x14ac:dyDescent="0.3">
      <c r="A91" s="3">
        <v>90</v>
      </c>
      <c r="B91" s="4">
        <v>145140</v>
      </c>
      <c r="C91" s="4">
        <v>150410</v>
      </c>
      <c r="D91" s="5">
        <v>1950</v>
      </c>
      <c r="E91" s="6">
        <v>3</v>
      </c>
      <c r="F91" s="6">
        <v>2</v>
      </c>
    </row>
    <row r="92" spans="1:6" x14ac:dyDescent="0.3">
      <c r="A92" s="3">
        <v>91</v>
      </c>
      <c r="B92" s="4">
        <v>120440</v>
      </c>
      <c r="C92" s="4">
        <v>129150</v>
      </c>
      <c r="D92" s="5">
        <v>1480</v>
      </c>
      <c r="E92" s="6">
        <v>3</v>
      </c>
      <c r="F92" s="6">
        <v>2</v>
      </c>
    </row>
    <row r="93" spans="1:6" x14ac:dyDescent="0.3">
      <c r="A93" s="3">
        <v>92</v>
      </c>
      <c r="B93" s="4">
        <v>136870</v>
      </c>
      <c r="C93" s="4">
        <v>130310</v>
      </c>
      <c r="D93" s="5">
        <v>2050</v>
      </c>
      <c r="E93" s="6">
        <v>4</v>
      </c>
      <c r="F93" s="6">
        <v>4</v>
      </c>
    </row>
    <row r="94" spans="1:6" x14ac:dyDescent="0.3">
      <c r="A94" s="3">
        <v>93</v>
      </c>
      <c r="B94" s="4">
        <v>140300</v>
      </c>
      <c r="C94" s="4">
        <v>129229.99999999999</v>
      </c>
      <c r="D94" s="5">
        <v>1660.0000000000002</v>
      </c>
      <c r="E94" s="6">
        <v>3</v>
      </c>
      <c r="F94" s="6">
        <v>2</v>
      </c>
    </row>
    <row r="95" spans="1:6" x14ac:dyDescent="0.3">
      <c r="A95" s="3">
        <v>94</v>
      </c>
      <c r="B95" s="4">
        <v>113780</v>
      </c>
      <c r="C95" s="4">
        <v>105060</v>
      </c>
      <c r="D95" s="5">
        <v>1540</v>
      </c>
      <c r="E95" s="6">
        <v>2</v>
      </c>
      <c r="F95" s="6">
        <v>3</v>
      </c>
    </row>
    <row r="96" spans="1:6" x14ac:dyDescent="0.3">
      <c r="A96" s="3">
        <v>95</v>
      </c>
      <c r="B96" s="4">
        <v>141230</v>
      </c>
      <c r="C96" s="4">
        <v>134210</v>
      </c>
      <c r="D96" s="5">
        <v>1720</v>
      </c>
      <c r="E96" s="6">
        <v>3</v>
      </c>
      <c r="F96" s="6">
        <v>4</v>
      </c>
    </row>
    <row r="97" spans="1:6" x14ac:dyDescent="0.3">
      <c r="A97" s="3">
        <v>96</v>
      </c>
      <c r="B97" s="4">
        <v>104830</v>
      </c>
      <c r="C97" s="4">
        <v>109250</v>
      </c>
      <c r="D97" s="5">
        <v>1400</v>
      </c>
      <c r="E97" s="6">
        <v>2</v>
      </c>
      <c r="F97" s="6">
        <v>1</v>
      </c>
    </row>
    <row r="98" spans="1:6" x14ac:dyDescent="0.3">
      <c r="A98" s="3">
        <v>97</v>
      </c>
      <c r="B98" s="4">
        <v>118790</v>
      </c>
      <c r="C98" s="4">
        <v>127350</v>
      </c>
      <c r="D98" s="5">
        <v>1578</v>
      </c>
      <c r="E98" s="6">
        <v>3</v>
      </c>
      <c r="F98" s="6">
        <v>4</v>
      </c>
    </row>
    <row r="99" spans="1:6" x14ac:dyDescent="0.3">
      <c r="A99" s="3">
        <v>98</v>
      </c>
      <c r="B99" s="4">
        <v>112040</v>
      </c>
      <c r="C99" s="4">
        <v>104010</v>
      </c>
      <c r="D99" s="5">
        <v>1700</v>
      </c>
      <c r="E99" s="6">
        <v>3</v>
      </c>
      <c r="F99" s="6">
        <v>3</v>
      </c>
    </row>
    <row r="100" spans="1:6" x14ac:dyDescent="0.3">
      <c r="A100" s="3">
        <v>99</v>
      </c>
      <c r="B100" s="4">
        <v>137270</v>
      </c>
      <c r="C100" s="4">
        <v>133940</v>
      </c>
      <c r="D100" s="5">
        <v>1880</v>
      </c>
      <c r="E100" s="6">
        <v>4</v>
      </c>
      <c r="F100" s="6">
        <v>5</v>
      </c>
    </row>
    <row r="101" spans="1:6" x14ac:dyDescent="0.3">
      <c r="A101" s="3">
        <v>100</v>
      </c>
      <c r="B101" s="4">
        <v>145710</v>
      </c>
      <c r="C101" s="4">
        <v>141130</v>
      </c>
      <c r="D101" s="5">
        <v>1850</v>
      </c>
      <c r="E101" s="6">
        <v>3</v>
      </c>
      <c r="F101" s="6">
        <v>4</v>
      </c>
    </row>
    <row r="102" spans="1:6" x14ac:dyDescent="0.3">
      <c r="A102" s="3">
        <v>101</v>
      </c>
      <c r="B102" s="4">
        <v>138380</v>
      </c>
      <c r="C102" s="4">
        <v>136530</v>
      </c>
      <c r="D102" s="5">
        <v>1430</v>
      </c>
      <c r="E102" s="6">
        <v>2</v>
      </c>
      <c r="F102" s="6">
        <v>3</v>
      </c>
    </row>
    <row r="103" spans="1:6" x14ac:dyDescent="0.3">
      <c r="A103" s="3">
        <v>102</v>
      </c>
      <c r="B103" s="4">
        <v>109460</v>
      </c>
      <c r="C103" s="4">
        <v>118040</v>
      </c>
      <c r="D103" s="5">
        <v>1390</v>
      </c>
      <c r="E103" s="6">
        <v>2</v>
      </c>
      <c r="F103" s="6">
        <v>1</v>
      </c>
    </row>
    <row r="104" spans="1:6" x14ac:dyDescent="0.3">
      <c r="A104" s="3">
        <v>103</v>
      </c>
      <c r="B104" s="4">
        <v>144680</v>
      </c>
      <c r="C104" s="4">
        <v>153700</v>
      </c>
      <c r="D104" s="5">
        <v>2130</v>
      </c>
      <c r="E104" s="6">
        <v>4</v>
      </c>
      <c r="F104" s="6">
        <v>5</v>
      </c>
    </row>
    <row r="105" spans="1:6" x14ac:dyDescent="0.3">
      <c r="A105" s="3">
        <v>104</v>
      </c>
      <c r="B105" s="4">
        <v>133270</v>
      </c>
      <c r="C105" s="4">
        <v>126310</v>
      </c>
      <c r="D105" s="5">
        <v>1889.9999999999998</v>
      </c>
      <c r="E105" s="6">
        <v>4</v>
      </c>
      <c r="F105" s="6">
        <v>4</v>
      </c>
    </row>
    <row r="106" spans="1:6" x14ac:dyDescent="0.3">
      <c r="A106" s="3">
        <v>105</v>
      </c>
      <c r="B106" s="4">
        <v>133270</v>
      </c>
      <c r="C106" s="4">
        <v>134020</v>
      </c>
      <c r="D106" s="5">
        <v>1639.9999999999998</v>
      </c>
      <c r="E106" s="6">
        <v>2</v>
      </c>
      <c r="F106" s="6">
        <v>3</v>
      </c>
    </row>
    <row r="107" spans="1:6" x14ac:dyDescent="0.3">
      <c r="A107" s="3">
        <v>106</v>
      </c>
      <c r="B107" s="4">
        <v>150380</v>
      </c>
      <c r="C107" s="4">
        <v>141560</v>
      </c>
      <c r="D107" s="5">
        <v>2070</v>
      </c>
      <c r="E107" s="6">
        <v>3</v>
      </c>
      <c r="F107" s="6">
        <v>3</v>
      </c>
    </row>
    <row r="108" spans="1:6" x14ac:dyDescent="0.3">
      <c r="A108" s="3">
        <v>107</v>
      </c>
      <c r="B108" s="4">
        <v>135260</v>
      </c>
      <c r="C108" s="4">
        <v>142960</v>
      </c>
      <c r="D108" s="5">
        <v>1810.0000000000002</v>
      </c>
      <c r="E108" s="6">
        <v>3</v>
      </c>
      <c r="F108" s="6">
        <v>2</v>
      </c>
    </row>
    <row r="109" spans="1:6" x14ac:dyDescent="0.3">
      <c r="A109" s="3">
        <v>108</v>
      </c>
      <c r="B109" s="4">
        <v>112600</v>
      </c>
      <c r="C109" s="4">
        <v>118530</v>
      </c>
      <c r="D109" s="5">
        <v>1460</v>
      </c>
      <c r="E109" s="6">
        <v>2</v>
      </c>
      <c r="F109" s="6">
        <v>1</v>
      </c>
    </row>
    <row r="110" spans="1:6" x14ac:dyDescent="0.3">
      <c r="A110" s="3">
        <v>109</v>
      </c>
      <c r="B110" s="4">
        <v>114230</v>
      </c>
      <c r="C110" s="4">
        <v>121590</v>
      </c>
      <c r="D110" s="5">
        <v>1410</v>
      </c>
      <c r="E110" s="6">
        <v>2</v>
      </c>
      <c r="F110" s="6">
        <v>2</v>
      </c>
    </row>
    <row r="111" spans="1:6" x14ac:dyDescent="0.3">
      <c r="A111" s="3">
        <v>110</v>
      </c>
      <c r="B111" s="4">
        <v>153240</v>
      </c>
      <c r="C111" s="4">
        <v>146400</v>
      </c>
      <c r="D111" s="5">
        <v>2190</v>
      </c>
      <c r="E111" s="6">
        <v>4</v>
      </c>
      <c r="F111" s="6">
        <v>3</v>
      </c>
    </row>
    <row r="112" spans="1:6" x14ac:dyDescent="0.3">
      <c r="A112" s="3">
        <v>111</v>
      </c>
      <c r="B112" s="4">
        <v>125890</v>
      </c>
      <c r="C112" s="4">
        <v>141250</v>
      </c>
      <c r="D112" s="5">
        <v>1580</v>
      </c>
      <c r="E112" s="6">
        <v>3</v>
      </c>
      <c r="F112" s="6">
        <v>4</v>
      </c>
    </row>
    <row r="113" spans="1:6" x14ac:dyDescent="0.3">
      <c r="A113" s="3">
        <v>112</v>
      </c>
      <c r="B113" s="4">
        <v>135620</v>
      </c>
      <c r="C113" s="4">
        <v>130729.99999999999</v>
      </c>
      <c r="D113" s="5">
        <v>1839.9999999999998</v>
      </c>
      <c r="E113" s="6">
        <v>3</v>
      </c>
      <c r="F113" s="6">
        <v>3</v>
      </c>
    </row>
    <row r="114" spans="1:6" x14ac:dyDescent="0.3">
      <c r="A114" s="3">
        <v>113</v>
      </c>
      <c r="B114" s="4">
        <v>138820</v>
      </c>
      <c r="C114" s="4">
        <v>132650</v>
      </c>
      <c r="D114" s="5">
        <v>1930</v>
      </c>
      <c r="E114" s="6">
        <v>3</v>
      </c>
      <c r="F114" s="6">
        <v>3</v>
      </c>
    </row>
    <row r="115" spans="1:6" x14ac:dyDescent="0.3">
      <c r="A115" s="3">
        <v>114</v>
      </c>
      <c r="B115" s="4">
        <v>129430</v>
      </c>
      <c r="C115" s="4">
        <v>125570</v>
      </c>
      <c r="D115" s="5">
        <v>1930</v>
      </c>
      <c r="E115" s="6">
        <v>4</v>
      </c>
      <c r="F115" s="6">
        <v>5</v>
      </c>
    </row>
    <row r="116" spans="1:6" x14ac:dyDescent="0.3">
      <c r="A116" s="3">
        <v>115</v>
      </c>
      <c r="B116" s="4">
        <v>136450</v>
      </c>
      <c r="C116" s="4">
        <v>125740</v>
      </c>
      <c r="D116" s="5">
        <v>1820</v>
      </c>
      <c r="E116" s="6">
        <v>3</v>
      </c>
      <c r="F116" s="6">
        <v>4</v>
      </c>
    </row>
    <row r="117" spans="1:6" x14ac:dyDescent="0.3">
      <c r="A117" s="3">
        <v>116</v>
      </c>
      <c r="B117" s="4">
        <v>126740</v>
      </c>
      <c r="C117" s="4">
        <v>120220</v>
      </c>
      <c r="D117" s="5">
        <v>1480</v>
      </c>
      <c r="E117" s="6">
        <v>2</v>
      </c>
      <c r="F117" s="6">
        <v>1</v>
      </c>
    </row>
    <row r="118" spans="1:6" x14ac:dyDescent="0.3">
      <c r="A118" s="3">
        <v>117</v>
      </c>
      <c r="B118" s="4">
        <v>130090</v>
      </c>
      <c r="C118" s="4">
        <v>128289.99999999999</v>
      </c>
      <c r="D118" s="5">
        <v>1600</v>
      </c>
      <c r="E118" s="6">
        <v>2</v>
      </c>
      <c r="F118" s="6">
        <v>1</v>
      </c>
    </row>
    <row r="119" spans="1:6" x14ac:dyDescent="0.3">
      <c r="A119" s="3">
        <v>118</v>
      </c>
      <c r="B119" s="4">
        <v>132680</v>
      </c>
      <c r="C119" s="4">
        <v>136890</v>
      </c>
      <c r="D119" s="5">
        <v>1880</v>
      </c>
      <c r="E119" s="6">
        <v>3</v>
      </c>
      <c r="F119" s="6">
        <v>2</v>
      </c>
    </row>
    <row r="120" spans="1:6" x14ac:dyDescent="0.3">
      <c r="A120" s="3">
        <v>119</v>
      </c>
      <c r="B120" s="4">
        <v>142890</v>
      </c>
      <c r="C120" s="4">
        <v>142430</v>
      </c>
      <c r="D120" s="5">
        <v>1780</v>
      </c>
      <c r="E120" s="6">
        <v>3</v>
      </c>
      <c r="F120" s="6">
        <v>2</v>
      </c>
    </row>
    <row r="121" spans="1:6" x14ac:dyDescent="0.3">
      <c r="A121" s="3">
        <v>120</v>
      </c>
      <c r="B121" s="4">
        <v>127040</v>
      </c>
      <c r="C121" s="4">
        <v>119310</v>
      </c>
      <c r="D121" s="5">
        <v>1920</v>
      </c>
      <c r="E121" s="6">
        <v>3</v>
      </c>
      <c r="F121" s="6">
        <v>2</v>
      </c>
    </row>
    <row r="122" spans="1:6" x14ac:dyDescent="0.3">
      <c r="A122" s="3">
        <v>121</v>
      </c>
      <c r="B122" s="4">
        <v>131450</v>
      </c>
      <c r="C122" s="4">
        <v>120370</v>
      </c>
      <c r="D122" s="5">
        <v>1830</v>
      </c>
      <c r="E122" s="6">
        <v>4</v>
      </c>
      <c r="F122" s="6">
        <v>3</v>
      </c>
    </row>
    <row r="123" spans="1:6" x14ac:dyDescent="0.3">
      <c r="A123" s="3">
        <v>122</v>
      </c>
      <c r="B123" s="4">
        <v>114570</v>
      </c>
      <c r="C123" s="4">
        <v>118830</v>
      </c>
      <c r="D123" s="5">
        <v>1470</v>
      </c>
      <c r="E123" s="6">
        <v>2</v>
      </c>
      <c r="F123" s="6">
        <v>3</v>
      </c>
    </row>
    <row r="124" spans="1:6" x14ac:dyDescent="0.3">
      <c r="A124" s="3">
        <v>123</v>
      </c>
      <c r="B124" s="4">
        <v>129560</v>
      </c>
      <c r="C124" s="4">
        <v>124490</v>
      </c>
      <c r="D124" s="5">
        <v>1689.9999999999998</v>
      </c>
      <c r="E124" s="6">
        <v>3</v>
      </c>
      <c r="F124" s="6">
        <v>4</v>
      </c>
    </row>
    <row r="125" spans="1:6" x14ac:dyDescent="0.3">
      <c r="A125" s="3">
        <v>124</v>
      </c>
      <c r="B125" s="4">
        <v>149550</v>
      </c>
      <c r="C125" s="4">
        <v>140570</v>
      </c>
      <c r="D125" s="5">
        <v>1930</v>
      </c>
      <c r="E125" s="6">
        <v>4</v>
      </c>
      <c r="F125" s="6">
        <v>5</v>
      </c>
    </row>
    <row r="126" spans="1:6" x14ac:dyDescent="0.3">
      <c r="A126" s="3">
        <v>125</v>
      </c>
      <c r="B126" s="4">
        <v>140820</v>
      </c>
      <c r="C126" s="4">
        <v>133620</v>
      </c>
      <c r="D126" s="5">
        <v>1970</v>
      </c>
      <c r="E126" s="6">
        <v>2</v>
      </c>
      <c r="F126" s="6">
        <v>3</v>
      </c>
    </row>
    <row r="127" spans="1:6" x14ac:dyDescent="0.3">
      <c r="A127" s="3">
        <v>126</v>
      </c>
      <c r="B127" s="4">
        <v>111550</v>
      </c>
      <c r="C127" s="4">
        <v>105050</v>
      </c>
      <c r="D127" s="5">
        <v>1530</v>
      </c>
      <c r="E127" s="6">
        <v>2</v>
      </c>
      <c r="F127" s="6">
        <v>2</v>
      </c>
    </row>
    <row r="128" spans="1:6" x14ac:dyDescent="0.3">
      <c r="A128" s="3">
        <v>127</v>
      </c>
      <c r="B128" s="4">
        <v>142760</v>
      </c>
      <c r="C128" s="4">
        <v>147090</v>
      </c>
      <c r="D128" s="5">
        <v>2030</v>
      </c>
      <c r="E128" s="6">
        <v>5</v>
      </c>
      <c r="F128" s="6">
        <v>6</v>
      </c>
    </row>
    <row r="129" spans="1:6" x14ac:dyDescent="0.3">
      <c r="A129" s="3">
        <v>128</v>
      </c>
      <c r="B129" s="4">
        <v>124250</v>
      </c>
      <c r="C129" s="4">
        <v>115430</v>
      </c>
      <c r="D129" s="5">
        <v>1830</v>
      </c>
      <c r="E129" s="6">
        <v>3</v>
      </c>
      <c r="F129" s="6">
        <v>3</v>
      </c>
    </row>
    <row r="130" spans="1:6" x14ac:dyDescent="0.3">
      <c r="A130" s="3">
        <v>129</v>
      </c>
      <c r="B130" s="4">
        <v>132320</v>
      </c>
      <c r="C130" s="4">
        <v>125370</v>
      </c>
      <c r="D130" s="5">
        <v>2070</v>
      </c>
      <c r="E130" s="6">
        <v>3</v>
      </c>
      <c r="F130" s="6">
        <v>4</v>
      </c>
    </row>
    <row r="131" spans="1:6" x14ac:dyDescent="0.3">
      <c r="A131" s="3">
        <v>130</v>
      </c>
      <c r="B131" s="4">
        <v>121450</v>
      </c>
      <c r="C131" s="4">
        <v>115970</v>
      </c>
      <c r="D131" s="5">
        <v>1630</v>
      </c>
      <c r="E131" s="6">
        <v>2</v>
      </c>
      <c r="F131" s="6">
        <v>3</v>
      </c>
    </row>
    <row r="132" spans="1:6" x14ac:dyDescent="0.3">
      <c r="A132" s="3">
        <v>131</v>
      </c>
      <c r="B132" s="4">
        <v>132450</v>
      </c>
      <c r="C132" s="4">
        <v>125210</v>
      </c>
      <c r="D132" s="5">
        <v>1580</v>
      </c>
      <c r="E132" s="6">
        <v>3</v>
      </c>
      <c r="F132" s="6">
        <v>2</v>
      </c>
    </row>
    <row r="133" spans="1:6" x14ac:dyDescent="0.3">
      <c r="A133" s="3">
        <v>132</v>
      </c>
      <c r="B133" s="4">
        <v>135830</v>
      </c>
      <c r="C133" s="4">
        <v>130370</v>
      </c>
      <c r="D133" s="5">
        <v>1760.0000000000002</v>
      </c>
      <c r="E133" s="6">
        <v>3</v>
      </c>
      <c r="F133" s="6">
        <v>4</v>
      </c>
    </row>
    <row r="134" spans="1:6" x14ac:dyDescent="0.3">
      <c r="A134" s="3">
        <v>133</v>
      </c>
      <c r="B134" s="4">
        <v>125760</v>
      </c>
      <c r="C134" s="4">
        <v>119750</v>
      </c>
      <c r="D134" s="5">
        <v>1810.0000000000002</v>
      </c>
      <c r="E134" s="6">
        <v>4</v>
      </c>
      <c r="F134" s="6">
        <v>5</v>
      </c>
    </row>
    <row r="135" spans="1:6" x14ac:dyDescent="0.3">
      <c r="A135" s="3">
        <v>134</v>
      </c>
      <c r="B135" s="4">
        <v>125840</v>
      </c>
      <c r="C135" s="4">
        <v>120930</v>
      </c>
      <c r="D135" s="5">
        <v>1710.0000000000002</v>
      </c>
      <c r="E135" s="6">
        <v>3</v>
      </c>
      <c r="F135" s="6">
        <v>2</v>
      </c>
    </row>
    <row r="136" spans="1:6" x14ac:dyDescent="0.3">
      <c r="A136" s="3">
        <v>135</v>
      </c>
      <c r="B136" s="4">
        <v>135320</v>
      </c>
      <c r="C136" s="4">
        <v>126800</v>
      </c>
      <c r="D136" s="5">
        <v>1889.9999999999998</v>
      </c>
      <c r="E136" s="6">
        <v>3</v>
      </c>
      <c r="F136" s="6">
        <v>3</v>
      </c>
    </row>
    <row r="137" spans="1:6" x14ac:dyDescent="0.3">
      <c r="A137" s="3">
        <v>136</v>
      </c>
      <c r="B137" s="4">
        <v>120140</v>
      </c>
      <c r="C137" s="4">
        <v>118820</v>
      </c>
      <c r="D137" s="5">
        <v>1639.9999999999998</v>
      </c>
      <c r="E137" s="6">
        <v>2</v>
      </c>
      <c r="F137" s="6">
        <v>1</v>
      </c>
    </row>
    <row r="138" spans="1:6" x14ac:dyDescent="0.3">
      <c r="A138" s="3">
        <v>137</v>
      </c>
      <c r="B138" s="4">
        <v>147530</v>
      </c>
      <c r="C138" s="4">
        <v>144080</v>
      </c>
      <c r="D138" s="5">
        <v>2010.0000000000002</v>
      </c>
      <c r="E138" s="6">
        <v>4</v>
      </c>
      <c r="F138" s="6">
        <v>4</v>
      </c>
    </row>
    <row r="139" spans="1:6" x14ac:dyDescent="0.3">
      <c r="A139" s="3">
        <v>138</v>
      </c>
      <c r="B139" s="4">
        <v>144940</v>
      </c>
      <c r="C139" s="4">
        <v>142490</v>
      </c>
      <c r="D139" s="5">
        <v>1730</v>
      </c>
      <c r="E139" s="6">
        <v>3</v>
      </c>
      <c r="F139" s="6">
        <v>3</v>
      </c>
    </row>
    <row r="140" spans="1:6" x14ac:dyDescent="0.3">
      <c r="A140" s="3">
        <v>139</v>
      </c>
      <c r="B140" s="4">
        <v>136010</v>
      </c>
      <c r="C140" s="4">
        <v>140550</v>
      </c>
      <c r="D140" s="5">
        <v>1770</v>
      </c>
      <c r="E140" s="6">
        <v>4</v>
      </c>
      <c r="F140" s="6">
        <v>3</v>
      </c>
    </row>
    <row r="141" spans="1:6" x14ac:dyDescent="0.3">
      <c r="A141" s="3">
        <v>140</v>
      </c>
      <c r="B141" s="4">
        <v>119330</v>
      </c>
      <c r="C141" s="4">
        <v>130360.00000000001</v>
      </c>
      <c r="D141" s="5">
        <v>1750</v>
      </c>
      <c r="E141" s="6">
        <v>4</v>
      </c>
      <c r="F141" s="6">
        <v>5</v>
      </c>
    </row>
    <row r="142" spans="1:6" x14ac:dyDescent="0.3">
      <c r="A142" s="3">
        <v>141</v>
      </c>
      <c r="B142" s="4">
        <v>131150</v>
      </c>
      <c r="C142" s="4">
        <v>124270</v>
      </c>
      <c r="D142" s="5">
        <v>1660.0000000000002</v>
      </c>
      <c r="E142" s="6">
        <v>3</v>
      </c>
      <c r="F142" s="6">
        <v>3</v>
      </c>
    </row>
    <row r="143" spans="1:6" x14ac:dyDescent="0.3">
      <c r="A143" s="3">
        <v>142</v>
      </c>
      <c r="B143" s="4">
        <v>172360</v>
      </c>
      <c r="C143" s="4">
        <v>167730</v>
      </c>
      <c r="D143" s="5">
        <v>2510</v>
      </c>
      <c r="E143" s="6">
        <v>5</v>
      </c>
      <c r="F143" s="6">
        <v>6</v>
      </c>
    </row>
    <row r="144" spans="1:6" x14ac:dyDescent="0.3">
      <c r="A144" s="3">
        <v>143</v>
      </c>
      <c r="B144" s="4">
        <v>137170</v>
      </c>
      <c r="C144" s="4">
        <v>129190</v>
      </c>
      <c r="D144" s="5">
        <v>1700</v>
      </c>
      <c r="E144" s="6">
        <v>2</v>
      </c>
      <c r="F144" s="6">
        <v>3</v>
      </c>
    </row>
    <row r="145" spans="1:6" x14ac:dyDescent="0.3">
      <c r="A145" s="3">
        <v>144</v>
      </c>
      <c r="B145" s="4">
        <v>124710</v>
      </c>
      <c r="C145" s="4">
        <v>125180</v>
      </c>
      <c r="D145" s="5">
        <v>1660.0000000000002</v>
      </c>
      <c r="E145" s="6">
        <v>3</v>
      </c>
      <c r="F145" s="6">
        <v>4</v>
      </c>
    </row>
    <row r="146" spans="1:6" x14ac:dyDescent="0.3">
      <c r="A146" s="3">
        <v>145</v>
      </c>
      <c r="B146" s="4">
        <v>148650</v>
      </c>
      <c r="C146" s="4">
        <v>157510</v>
      </c>
      <c r="D146" s="5">
        <v>2110</v>
      </c>
      <c r="E146" s="6">
        <v>4</v>
      </c>
      <c r="F146" s="6">
        <v>5</v>
      </c>
    </row>
    <row r="147" spans="1:6" x14ac:dyDescent="0.3">
      <c r="A147" s="3">
        <v>146</v>
      </c>
      <c r="B147" s="4">
        <v>128520.00000000001</v>
      </c>
      <c r="C147" s="4">
        <v>126670</v>
      </c>
      <c r="D147" s="5">
        <v>1430</v>
      </c>
      <c r="E147" s="6">
        <v>2</v>
      </c>
      <c r="F147" s="6">
        <v>2</v>
      </c>
    </row>
    <row r="148" spans="1:6" x14ac:dyDescent="0.3">
      <c r="A148" s="3">
        <v>147</v>
      </c>
      <c r="B148" s="4">
        <v>132020</v>
      </c>
      <c r="C148" s="4">
        <v>137570</v>
      </c>
      <c r="D148" s="5">
        <v>1710.0000000000002</v>
      </c>
      <c r="E148" s="6">
        <v>4</v>
      </c>
      <c r="F148" s="6">
        <v>5</v>
      </c>
    </row>
    <row r="149" spans="1:6" x14ac:dyDescent="0.3">
      <c r="A149" s="3">
        <v>148</v>
      </c>
      <c r="B149" s="4">
        <v>128030</v>
      </c>
      <c r="C149" s="4">
        <v>133460</v>
      </c>
      <c r="D149" s="5">
        <v>1580</v>
      </c>
      <c r="E149" s="6">
        <v>2</v>
      </c>
      <c r="F149" s="6">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94DA-08FE-47F7-B879-55F7FAE5DE83}">
  <dimension ref="A1:Q22"/>
  <sheetViews>
    <sheetView workbookViewId="0">
      <selection activeCell="M20" sqref="M20"/>
    </sheetView>
  </sheetViews>
  <sheetFormatPr defaultRowHeight="14.4" x14ac:dyDescent="0.3"/>
  <cols>
    <col min="1" max="1" width="18" bestFit="1" customWidth="1"/>
    <col min="2" max="2" width="12" bestFit="1" customWidth="1"/>
    <col min="3" max="3" width="14.5546875" bestFit="1" customWidth="1"/>
    <col min="4" max="5" width="12" bestFit="1" customWidth="1"/>
    <col min="6" max="6" width="13.44140625" bestFit="1" customWidth="1"/>
    <col min="7" max="7" width="12" bestFit="1" customWidth="1"/>
    <col min="8" max="8" width="12.6640625" bestFit="1" customWidth="1"/>
    <col min="9" max="9" width="12.5546875" bestFit="1" customWidth="1"/>
  </cols>
  <sheetData>
    <row r="1" spans="1:17" x14ac:dyDescent="0.3">
      <c r="A1" t="s">
        <v>27</v>
      </c>
    </row>
    <row r="2" spans="1:17" ht="15" thickBot="1" x14ac:dyDescent="0.35"/>
    <row r="3" spans="1:17" x14ac:dyDescent="0.3">
      <c r="A3" s="18" t="s">
        <v>28</v>
      </c>
      <c r="B3" s="18"/>
    </row>
    <row r="4" spans="1:17" x14ac:dyDescent="0.3">
      <c r="A4" t="s">
        <v>29</v>
      </c>
      <c r="B4">
        <v>0.8705440936289226</v>
      </c>
      <c r="K4" s="34" t="s">
        <v>69</v>
      </c>
      <c r="L4" s="34"/>
      <c r="M4" s="34"/>
      <c r="N4" s="34"/>
      <c r="O4" s="34"/>
      <c r="P4" s="34"/>
      <c r="Q4" s="34"/>
    </row>
    <row r="5" spans="1:17" x14ac:dyDescent="0.3">
      <c r="A5" t="s">
        <v>30</v>
      </c>
      <c r="B5" s="20">
        <v>0.7578470189522023</v>
      </c>
      <c r="K5" s="34"/>
      <c r="L5" s="34"/>
      <c r="M5" s="34"/>
      <c r="N5" s="34"/>
      <c r="O5" s="34"/>
      <c r="P5" s="34"/>
      <c r="Q5" s="34"/>
    </row>
    <row r="6" spans="1:17" x14ac:dyDescent="0.3">
      <c r="A6" t="s">
        <v>31</v>
      </c>
      <c r="B6">
        <v>0.75450697783430165</v>
      </c>
      <c r="K6" s="34"/>
      <c r="L6" s="34"/>
      <c r="M6" s="34"/>
      <c r="N6" s="34"/>
      <c r="O6" s="34"/>
      <c r="P6" s="34"/>
      <c r="Q6" s="34"/>
    </row>
    <row r="7" spans="1:17" x14ac:dyDescent="0.3">
      <c r="A7" t="s">
        <v>32</v>
      </c>
      <c r="B7" s="20">
        <v>7121.6438409050979</v>
      </c>
      <c r="K7" s="34"/>
      <c r="L7" s="34"/>
      <c r="M7" s="34"/>
      <c r="N7" s="34"/>
      <c r="O7" s="34"/>
      <c r="P7" s="34"/>
      <c r="Q7" s="34"/>
    </row>
    <row r="8" spans="1:17" ht="15.75" customHeight="1" thickBot="1" x14ac:dyDescent="0.35">
      <c r="A8" s="17" t="s">
        <v>33</v>
      </c>
      <c r="B8" s="17">
        <v>148</v>
      </c>
      <c r="K8" s="34"/>
      <c r="L8" s="34"/>
      <c r="M8" s="34"/>
      <c r="N8" s="34"/>
      <c r="O8" s="34"/>
      <c r="P8" s="34"/>
      <c r="Q8" s="34"/>
    </row>
    <row r="9" spans="1:17" x14ac:dyDescent="0.3">
      <c r="K9" s="34"/>
      <c r="L9" s="34"/>
      <c r="M9" s="34"/>
      <c r="N9" s="34"/>
      <c r="O9" s="34"/>
      <c r="P9" s="34"/>
      <c r="Q9" s="34"/>
    </row>
    <row r="10" spans="1:17" ht="15" thickBot="1" x14ac:dyDescent="0.35">
      <c r="A10" t="s">
        <v>34</v>
      </c>
      <c r="K10" s="34"/>
      <c r="L10" s="34"/>
      <c r="M10" s="34"/>
      <c r="N10" s="34"/>
      <c r="O10" s="34"/>
      <c r="P10" s="34"/>
      <c r="Q10" s="34"/>
    </row>
    <row r="11" spans="1:17" x14ac:dyDescent="0.3">
      <c r="A11" s="18"/>
      <c r="B11" s="18" t="s">
        <v>39</v>
      </c>
      <c r="C11" s="18" t="s">
        <v>40</v>
      </c>
      <c r="D11" s="18" t="s">
        <v>41</v>
      </c>
      <c r="E11" s="18" t="s">
        <v>42</v>
      </c>
      <c r="F11" s="18" t="s">
        <v>43</v>
      </c>
      <c r="K11" s="34"/>
      <c r="L11" s="34"/>
      <c r="M11" s="34"/>
      <c r="N11" s="34"/>
      <c r="O11" s="34"/>
      <c r="P11" s="34"/>
      <c r="Q11" s="34"/>
    </row>
    <row r="12" spans="1:17" x14ac:dyDescent="0.3">
      <c r="A12" t="s">
        <v>35</v>
      </c>
      <c r="B12">
        <v>2</v>
      </c>
      <c r="C12">
        <v>23015490237.910702</v>
      </c>
      <c r="D12">
        <v>11507745118.955351</v>
      </c>
      <c r="E12">
        <v>226.8975117972613</v>
      </c>
      <c r="F12" s="20">
        <v>2.2208127308912304E-45</v>
      </c>
      <c r="K12" s="34"/>
      <c r="L12" s="34"/>
      <c r="M12" s="34"/>
      <c r="N12" s="34"/>
      <c r="O12" s="34"/>
      <c r="P12" s="34"/>
      <c r="Q12" s="34"/>
    </row>
    <row r="13" spans="1:17" x14ac:dyDescent="0.3">
      <c r="A13" t="s">
        <v>36</v>
      </c>
      <c r="B13">
        <v>145</v>
      </c>
      <c r="C13">
        <v>7354082594.5217199</v>
      </c>
      <c r="D13">
        <v>50717810.996701516</v>
      </c>
    </row>
    <row r="14" spans="1:17" ht="15" thickBot="1" x14ac:dyDescent="0.35">
      <c r="A14" s="17" t="s">
        <v>37</v>
      </c>
      <c r="B14" s="17">
        <v>147</v>
      </c>
      <c r="C14" s="17">
        <v>30369572832.432423</v>
      </c>
      <c r="D14" s="17"/>
      <c r="E14" s="17"/>
      <c r="F14" s="17"/>
    </row>
    <row r="15" spans="1:17" ht="15" thickBot="1" x14ac:dyDescent="0.35"/>
    <row r="16" spans="1:17" x14ac:dyDescent="0.3">
      <c r="A16" s="18"/>
      <c r="B16" s="18" t="s">
        <v>44</v>
      </c>
      <c r="C16" s="18" t="s">
        <v>32</v>
      </c>
      <c r="D16" s="18" t="s">
        <v>45</v>
      </c>
      <c r="E16" s="18" t="s">
        <v>46</v>
      </c>
      <c r="F16" s="18" t="s">
        <v>47</v>
      </c>
      <c r="G16" s="18" t="s">
        <v>48</v>
      </c>
      <c r="H16" s="18" t="s">
        <v>49</v>
      </c>
      <c r="I16" s="18" t="s">
        <v>50</v>
      </c>
    </row>
    <row r="17" spans="1:9" x14ac:dyDescent="0.3">
      <c r="A17" t="s">
        <v>38</v>
      </c>
      <c r="B17">
        <v>5839.8593917346807</v>
      </c>
      <c r="C17">
        <v>6127.6789089503118</v>
      </c>
      <c r="D17">
        <v>0.95302960199248832</v>
      </c>
      <c r="E17">
        <v>0.34216107705590304</v>
      </c>
      <c r="F17">
        <v>-6271.2501846041905</v>
      </c>
      <c r="G17">
        <v>17950.968968073554</v>
      </c>
      <c r="H17">
        <v>-6271.2501846041905</v>
      </c>
      <c r="I17">
        <v>17950.968968073554</v>
      </c>
    </row>
    <row r="18" spans="1:9" x14ac:dyDescent="0.3">
      <c r="A18" t="s">
        <v>51</v>
      </c>
      <c r="B18">
        <v>0.67767720747515137</v>
      </c>
      <c r="C18">
        <v>6.2538642624256457E-2</v>
      </c>
      <c r="D18">
        <v>10.836135532182228</v>
      </c>
      <c r="E18" s="20">
        <v>2.0570259824724435E-20</v>
      </c>
      <c r="F18">
        <v>0.5540721092263573</v>
      </c>
      <c r="G18">
        <v>0.80128230572394543</v>
      </c>
      <c r="H18">
        <v>0.5540721092263573</v>
      </c>
      <c r="I18">
        <v>0.80128230572394543</v>
      </c>
    </row>
    <row r="19" spans="1:9" ht="15" thickBot="1" x14ac:dyDescent="0.35">
      <c r="A19" s="17" t="s">
        <v>52</v>
      </c>
      <c r="B19" s="17">
        <v>21.435799533864415</v>
      </c>
      <c r="C19" s="17">
        <v>3.4822842640193707</v>
      </c>
      <c r="D19" s="17">
        <v>6.1556719407859273</v>
      </c>
      <c r="E19" s="21">
        <v>6.9451820956056837E-9</v>
      </c>
      <c r="F19" s="17">
        <v>14.553205500437208</v>
      </c>
      <c r="G19" s="17">
        <v>28.318393567291622</v>
      </c>
      <c r="H19" s="17">
        <v>14.553205500437208</v>
      </c>
      <c r="I19" s="17">
        <v>28.318393567291622</v>
      </c>
    </row>
    <row r="22" spans="1:9" x14ac:dyDescent="0.3">
      <c r="A22" s="32"/>
    </row>
  </sheetData>
  <mergeCells count="1">
    <mergeCell ref="K4:Q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BC738-A1A1-434C-A83B-45F5B962AA32}">
  <dimension ref="A1:I173"/>
  <sheetViews>
    <sheetView topLeftCell="A6" workbookViewId="0">
      <selection activeCell="Q14" sqref="Q14"/>
    </sheetView>
  </sheetViews>
  <sheetFormatPr defaultRowHeight="14.4" x14ac:dyDescent="0.3"/>
  <cols>
    <col min="1" max="1" width="18" bestFit="1" customWidth="1"/>
    <col min="2" max="2" width="12" bestFit="1" customWidth="1"/>
    <col min="3" max="3" width="14.5546875" bestFit="1" customWidth="1"/>
    <col min="4" max="4" width="12" bestFit="1" customWidth="1"/>
    <col min="5" max="5" width="20.109375" bestFit="1" customWidth="1"/>
    <col min="6" max="6" width="13.44140625" bestFit="1" customWidth="1"/>
    <col min="7" max="7" width="12" bestFit="1" customWidth="1"/>
    <col min="8" max="8" width="12.6640625" bestFit="1" customWidth="1"/>
    <col min="9" max="9" width="12.5546875" bestFit="1" customWidth="1"/>
  </cols>
  <sheetData>
    <row r="1" spans="1:9" x14ac:dyDescent="0.3">
      <c r="A1" t="s">
        <v>27</v>
      </c>
    </row>
    <row r="2" spans="1:9" ht="15" thickBot="1" x14ac:dyDescent="0.35"/>
    <row r="3" spans="1:9" x14ac:dyDescent="0.3">
      <c r="A3" s="19" t="s">
        <v>28</v>
      </c>
      <c r="B3" s="19"/>
    </row>
    <row r="4" spans="1:9" x14ac:dyDescent="0.3">
      <c r="A4" t="s">
        <v>29</v>
      </c>
      <c r="B4">
        <v>0.8705440936289226</v>
      </c>
    </row>
    <row r="5" spans="1:9" x14ac:dyDescent="0.3">
      <c r="A5" t="s">
        <v>30</v>
      </c>
      <c r="B5">
        <v>0.7578470189522023</v>
      </c>
    </row>
    <row r="6" spans="1:9" x14ac:dyDescent="0.3">
      <c r="A6" t="s">
        <v>31</v>
      </c>
      <c r="B6">
        <v>0.75450697783430165</v>
      </c>
    </row>
    <row r="7" spans="1:9" x14ac:dyDescent="0.3">
      <c r="A7" t="s">
        <v>32</v>
      </c>
      <c r="B7">
        <v>7121.6438409050979</v>
      </c>
    </row>
    <row r="8" spans="1:9" ht="15" thickBot="1" x14ac:dyDescent="0.35">
      <c r="A8" s="17" t="s">
        <v>33</v>
      </c>
      <c r="B8" s="17">
        <v>148</v>
      </c>
    </row>
    <row r="10" spans="1:9" ht="15" thickBot="1" x14ac:dyDescent="0.35">
      <c r="A10" t="s">
        <v>34</v>
      </c>
    </row>
    <row r="11" spans="1:9" x14ac:dyDescent="0.3">
      <c r="A11" s="18"/>
      <c r="B11" s="18" t="s">
        <v>39</v>
      </c>
      <c r="C11" s="18" t="s">
        <v>40</v>
      </c>
      <c r="D11" s="18" t="s">
        <v>41</v>
      </c>
      <c r="E11" s="18" t="s">
        <v>42</v>
      </c>
      <c r="F11" s="18" t="s">
        <v>43</v>
      </c>
    </row>
    <row r="12" spans="1:9" x14ac:dyDescent="0.3">
      <c r="A12" t="s">
        <v>35</v>
      </c>
      <c r="B12">
        <v>2</v>
      </c>
      <c r="C12">
        <v>23015490237.910702</v>
      </c>
      <c r="D12">
        <v>11507745118.955351</v>
      </c>
      <c r="E12">
        <v>226.8975117972613</v>
      </c>
      <c r="F12">
        <v>2.2208127308912304E-45</v>
      </c>
    </row>
    <row r="13" spans="1:9" x14ac:dyDescent="0.3">
      <c r="A13" t="s">
        <v>36</v>
      </c>
      <c r="B13">
        <v>145</v>
      </c>
      <c r="C13">
        <v>7354082594.5217199</v>
      </c>
      <c r="D13">
        <v>50717810.996701516</v>
      </c>
    </row>
    <row r="14" spans="1:9" ht="15" thickBot="1" x14ac:dyDescent="0.35">
      <c r="A14" s="17" t="s">
        <v>37</v>
      </c>
      <c r="B14" s="17">
        <v>147</v>
      </c>
      <c r="C14" s="17">
        <v>30369572832.432423</v>
      </c>
      <c r="D14" s="17"/>
      <c r="E14" s="17"/>
      <c r="F14" s="17"/>
    </row>
    <row r="15" spans="1:9" ht="15" thickBot="1" x14ac:dyDescent="0.35"/>
    <row r="16" spans="1:9" x14ac:dyDescent="0.3">
      <c r="A16" s="18"/>
      <c r="B16" s="18" t="s">
        <v>44</v>
      </c>
      <c r="C16" s="18" t="s">
        <v>32</v>
      </c>
      <c r="D16" s="18" t="s">
        <v>45</v>
      </c>
      <c r="E16" s="18" t="s">
        <v>46</v>
      </c>
      <c r="F16" s="18" t="s">
        <v>47</v>
      </c>
      <c r="G16" s="18" t="s">
        <v>48</v>
      </c>
      <c r="H16" s="18" t="s">
        <v>49</v>
      </c>
      <c r="I16" s="18" t="s">
        <v>50</v>
      </c>
    </row>
    <row r="17" spans="1:9" x14ac:dyDescent="0.3">
      <c r="A17" t="s">
        <v>38</v>
      </c>
      <c r="B17">
        <v>5839.8593917346807</v>
      </c>
      <c r="C17">
        <v>6127.6789089503118</v>
      </c>
      <c r="D17">
        <v>0.95302960199248832</v>
      </c>
      <c r="E17">
        <v>0.34216107705590304</v>
      </c>
      <c r="F17">
        <v>-6271.2501846041905</v>
      </c>
      <c r="G17">
        <v>17950.968968073554</v>
      </c>
      <c r="H17">
        <v>-6271.2501846041905</v>
      </c>
      <c r="I17">
        <v>17950.968968073554</v>
      </c>
    </row>
    <row r="18" spans="1:9" x14ac:dyDescent="0.3">
      <c r="A18" t="s">
        <v>51</v>
      </c>
      <c r="B18">
        <v>0.67767720747515137</v>
      </c>
      <c r="C18">
        <v>6.2538642624256457E-2</v>
      </c>
      <c r="D18">
        <v>10.836135532182228</v>
      </c>
      <c r="E18">
        <v>2.0570259824724435E-20</v>
      </c>
      <c r="F18">
        <v>0.5540721092263573</v>
      </c>
      <c r="G18">
        <v>0.80128230572394543</v>
      </c>
      <c r="H18">
        <v>0.5540721092263573</v>
      </c>
      <c r="I18">
        <v>0.80128230572394543</v>
      </c>
    </row>
    <row r="19" spans="1:9" ht="15" thickBot="1" x14ac:dyDescent="0.35">
      <c r="A19" s="17" t="s">
        <v>52</v>
      </c>
      <c r="B19" s="17">
        <v>21.435799533864415</v>
      </c>
      <c r="C19" s="17">
        <v>3.4822842640193707</v>
      </c>
      <c r="D19" s="17">
        <v>6.1556719407859273</v>
      </c>
      <c r="E19" s="17">
        <v>6.9451820956056837E-9</v>
      </c>
      <c r="F19" s="17">
        <v>14.553205500437208</v>
      </c>
      <c r="G19" s="17">
        <v>28.318393567291622</v>
      </c>
      <c r="H19" s="17">
        <v>14.553205500437208</v>
      </c>
      <c r="I19" s="17">
        <v>28.318393567291622</v>
      </c>
    </row>
    <row r="23" spans="1:9" x14ac:dyDescent="0.3">
      <c r="A23" t="s">
        <v>53</v>
      </c>
      <c r="E23" t="s">
        <v>57</v>
      </c>
    </row>
    <row r="24" spans="1:9" ht="15" thickBot="1" x14ac:dyDescent="0.35"/>
    <row r="25" spans="1:9" x14ac:dyDescent="0.3">
      <c r="A25" s="18" t="s">
        <v>54</v>
      </c>
      <c r="B25" s="18" t="s">
        <v>55</v>
      </c>
      <c r="C25" s="18" t="s">
        <v>56</v>
      </c>
      <c r="E25" s="18" t="s">
        <v>58</v>
      </c>
      <c r="F25" s="18" t="s">
        <v>59</v>
      </c>
    </row>
    <row r="26" spans="1:9" x14ac:dyDescent="0.3">
      <c r="A26">
        <v>1</v>
      </c>
      <c r="B26">
        <v>130677.57669246555</v>
      </c>
      <c r="C26">
        <v>-8807.5766924655472</v>
      </c>
      <c r="E26">
        <v>0.33783783783783783</v>
      </c>
      <c r="F26">
        <v>83760</v>
      </c>
    </row>
    <row r="27" spans="1:9" x14ac:dyDescent="0.3">
      <c r="A27">
        <v>2</v>
      </c>
      <c r="B27">
        <v>153925.08487551069</v>
      </c>
      <c r="C27">
        <v>-3675.0848755106854</v>
      </c>
      <c r="E27">
        <v>1.0135135135135136</v>
      </c>
      <c r="F27">
        <v>104830</v>
      </c>
    </row>
    <row r="28" spans="1:9" x14ac:dyDescent="0.3">
      <c r="A28">
        <v>3</v>
      </c>
      <c r="B28">
        <v>128285.11173326407</v>
      </c>
      <c r="C28">
        <v>-5505.1117332640715</v>
      </c>
      <c r="E28">
        <v>1.689189189189189</v>
      </c>
      <c r="F28">
        <v>107060</v>
      </c>
    </row>
    <row r="29" spans="1:9" x14ac:dyDescent="0.3">
      <c r="A29">
        <v>4</v>
      </c>
      <c r="B29">
        <v>137671.24357910053</v>
      </c>
      <c r="C29">
        <v>6678.7564208994736</v>
      </c>
      <c r="E29">
        <v>2.3648648648648649</v>
      </c>
      <c r="F29">
        <v>107900</v>
      </c>
    </row>
    <row r="30" spans="1:9" x14ac:dyDescent="0.3">
      <c r="A30">
        <v>5</v>
      </c>
      <c r="B30">
        <v>117367.80813182224</v>
      </c>
      <c r="C30">
        <v>-1167.8081318222394</v>
      </c>
      <c r="E30">
        <v>3.0405405405405403</v>
      </c>
      <c r="F30">
        <v>109410</v>
      </c>
    </row>
    <row r="31" spans="1:9" x14ac:dyDescent="0.3">
      <c r="A31">
        <v>6</v>
      </c>
      <c r="B31">
        <v>135391.06819533659</v>
      </c>
      <c r="C31">
        <v>4098.9318046634144</v>
      </c>
      <c r="E31">
        <v>3.7162162162162158</v>
      </c>
      <c r="F31">
        <v>109460</v>
      </c>
    </row>
    <row r="32" spans="1:9" x14ac:dyDescent="0.3">
      <c r="A32">
        <v>7</v>
      </c>
      <c r="B32">
        <v>125324.00296439469</v>
      </c>
      <c r="C32">
        <v>-9594.0029643946909</v>
      </c>
      <c r="E32">
        <v>4.3918918918918921</v>
      </c>
      <c r="F32">
        <v>110610</v>
      </c>
    </row>
    <row r="33" spans="1:6" x14ac:dyDescent="0.3">
      <c r="A33">
        <v>8</v>
      </c>
      <c r="B33">
        <v>146209.63576549041</v>
      </c>
      <c r="C33">
        <v>-5619.6357654904132</v>
      </c>
      <c r="E33">
        <v>5.0675675675675675</v>
      </c>
      <c r="F33">
        <v>111230</v>
      </c>
    </row>
    <row r="34" spans="1:6" x14ac:dyDescent="0.3">
      <c r="A34">
        <v>9</v>
      </c>
      <c r="B34">
        <v>122101.85626224027</v>
      </c>
      <c r="C34">
        <v>-1811.8562622402678</v>
      </c>
      <c r="E34">
        <v>5.743243243243243</v>
      </c>
      <c r="F34">
        <v>111550</v>
      </c>
    </row>
    <row r="35" spans="1:6" x14ac:dyDescent="0.3">
      <c r="A35">
        <v>10</v>
      </c>
      <c r="B35">
        <v>134554.64778580031</v>
      </c>
      <c r="C35">
        <v>12695.352214199695</v>
      </c>
      <c r="E35">
        <v>6.4189189189189184</v>
      </c>
      <c r="F35">
        <v>111700</v>
      </c>
    </row>
    <row r="36" spans="1:6" x14ac:dyDescent="0.3">
      <c r="A36">
        <v>11</v>
      </c>
      <c r="B36">
        <v>142719.25751919637</v>
      </c>
      <c r="C36">
        <v>9540.7424808036303</v>
      </c>
      <c r="E36">
        <v>7.0945945945945939</v>
      </c>
      <c r="F36">
        <v>111950</v>
      </c>
    </row>
    <row r="37" spans="1:6" x14ac:dyDescent="0.3">
      <c r="A37">
        <v>12</v>
      </c>
      <c r="B37">
        <v>137265.73534898931</v>
      </c>
      <c r="C37">
        <v>7534.2646510106861</v>
      </c>
      <c r="E37">
        <v>7.7702702702702702</v>
      </c>
      <c r="F37">
        <v>112040</v>
      </c>
    </row>
    <row r="38" spans="1:6" x14ac:dyDescent="0.3">
      <c r="A38">
        <v>13</v>
      </c>
      <c r="B38">
        <v>119123.25651599708</v>
      </c>
      <c r="C38">
        <v>-12063.256515997084</v>
      </c>
      <c r="E38">
        <v>8.4459459459459474</v>
      </c>
      <c r="F38">
        <v>112600</v>
      </c>
    </row>
    <row r="39" spans="1:6" x14ac:dyDescent="0.3">
      <c r="A39">
        <v>14</v>
      </c>
      <c r="B39">
        <v>136110.84475743116</v>
      </c>
      <c r="C39">
        <v>11359.155242568842</v>
      </c>
      <c r="E39">
        <v>9.1216216216216228</v>
      </c>
      <c r="F39">
        <v>113550</v>
      </c>
    </row>
    <row r="40" spans="1:6" x14ac:dyDescent="0.3">
      <c r="A40">
        <v>15</v>
      </c>
      <c r="B40">
        <v>132522.37362995173</v>
      </c>
      <c r="C40">
        <v>2597.6263700482668</v>
      </c>
      <c r="E40">
        <v>9.7972972972972983</v>
      </c>
      <c r="F40">
        <v>113610</v>
      </c>
    </row>
    <row r="41" spans="1:6" x14ac:dyDescent="0.3">
      <c r="A41">
        <v>16</v>
      </c>
      <c r="B41">
        <v>134999.1135093749</v>
      </c>
      <c r="C41">
        <v>5240.8864906250965</v>
      </c>
      <c r="E41">
        <v>10.472972972972974</v>
      </c>
      <c r="F41">
        <v>113770</v>
      </c>
    </row>
    <row r="42" spans="1:6" x14ac:dyDescent="0.3">
      <c r="A42">
        <v>17</v>
      </c>
      <c r="B42">
        <v>130946.94443647051</v>
      </c>
      <c r="C42">
        <v>-1056.9444364705269</v>
      </c>
      <c r="E42">
        <v>11.148648648648649</v>
      </c>
      <c r="F42">
        <v>113780</v>
      </c>
    </row>
    <row r="43" spans="1:6" x14ac:dyDescent="0.3">
      <c r="A43">
        <v>18</v>
      </c>
      <c r="B43">
        <v>121163.78427158273</v>
      </c>
      <c r="C43">
        <v>-23.784271582728252</v>
      </c>
      <c r="E43">
        <v>11.824324324324325</v>
      </c>
      <c r="F43">
        <v>114230</v>
      </c>
    </row>
    <row r="44" spans="1:6" x14ac:dyDescent="0.3">
      <c r="A44">
        <v>19</v>
      </c>
      <c r="B44">
        <v>119050.18885083712</v>
      </c>
      <c r="C44">
        <v>-7820.1888508371194</v>
      </c>
      <c r="E44">
        <v>12.5</v>
      </c>
      <c r="F44">
        <v>114330</v>
      </c>
    </row>
    <row r="45" spans="1:6" x14ac:dyDescent="0.3">
      <c r="A45">
        <v>20</v>
      </c>
      <c r="B45">
        <v>151741.56365076121</v>
      </c>
      <c r="C45">
        <v>-6601.5636507612071</v>
      </c>
      <c r="E45">
        <v>13.175675675675675</v>
      </c>
      <c r="F45">
        <v>114550</v>
      </c>
    </row>
    <row r="46" spans="1:6" x14ac:dyDescent="0.3">
      <c r="A46">
        <v>21</v>
      </c>
      <c r="B46">
        <v>127710.86545687815</v>
      </c>
      <c r="C46">
        <v>11299.134543121851</v>
      </c>
      <c r="E46">
        <v>13.851351351351351</v>
      </c>
      <c r="F46">
        <v>114570</v>
      </c>
    </row>
    <row r="47" spans="1:6" x14ac:dyDescent="0.3">
      <c r="A47">
        <v>22</v>
      </c>
      <c r="B47">
        <v>138004.36539964582</v>
      </c>
      <c r="C47">
        <v>-8664.3653996458161</v>
      </c>
      <c r="E47">
        <v>14.527027027027028</v>
      </c>
      <c r="F47">
        <v>115470</v>
      </c>
    </row>
    <row r="48" spans="1:6" x14ac:dyDescent="0.3">
      <c r="A48">
        <v>23</v>
      </c>
      <c r="B48">
        <v>118734.17927437722</v>
      </c>
      <c r="C48">
        <v>-5124.1792743772239</v>
      </c>
      <c r="E48">
        <v>15.202702702702704</v>
      </c>
      <c r="F48">
        <v>115730</v>
      </c>
    </row>
    <row r="49" spans="1:6" x14ac:dyDescent="0.3">
      <c r="A49">
        <v>24</v>
      </c>
      <c r="B49">
        <v>147700.86624973279</v>
      </c>
      <c r="C49">
        <v>-6650.8662497327896</v>
      </c>
      <c r="E49">
        <v>15.878378378378379</v>
      </c>
      <c r="F49">
        <v>116200</v>
      </c>
    </row>
    <row r="50" spans="1:6" x14ac:dyDescent="0.3">
      <c r="A50">
        <v>25</v>
      </c>
      <c r="B50">
        <v>145316.84309609974</v>
      </c>
      <c r="C50">
        <v>7583.1569039002643</v>
      </c>
      <c r="E50">
        <v>16.554054054054056</v>
      </c>
      <c r="F50">
        <v>118200</v>
      </c>
    </row>
    <row r="51" spans="1:6" x14ac:dyDescent="0.3">
      <c r="A51">
        <v>26</v>
      </c>
      <c r="B51">
        <v>159911.81395636668</v>
      </c>
      <c r="C51">
        <v>-2121.8139563666773</v>
      </c>
      <c r="E51">
        <v>17.22972972972973</v>
      </c>
      <c r="F51">
        <v>118520</v>
      </c>
    </row>
    <row r="52" spans="1:6" x14ac:dyDescent="0.3">
      <c r="A52">
        <v>27</v>
      </c>
      <c r="B52">
        <v>135042.7266363352</v>
      </c>
      <c r="C52">
        <v>527.27336366480449</v>
      </c>
      <c r="E52">
        <v>17.905405405405407</v>
      </c>
      <c r="F52">
        <v>118640</v>
      </c>
    </row>
    <row r="53" spans="1:6" x14ac:dyDescent="0.3">
      <c r="A53">
        <v>28</v>
      </c>
      <c r="B53">
        <v>142004.8190070056</v>
      </c>
      <c r="C53">
        <v>9985.1809929943993</v>
      </c>
      <c r="E53">
        <v>18.581081081081081</v>
      </c>
      <c r="F53">
        <v>118790</v>
      </c>
    </row>
    <row r="54" spans="1:6" x14ac:dyDescent="0.3">
      <c r="A54">
        <v>29</v>
      </c>
      <c r="B54">
        <v>122293.00649701283</v>
      </c>
      <c r="C54">
        <v>-1763.0064970128296</v>
      </c>
      <c r="E54">
        <v>19.256756756756758</v>
      </c>
      <c r="F54">
        <v>119330</v>
      </c>
    </row>
    <row r="55" spans="1:6" x14ac:dyDescent="0.3">
      <c r="A55">
        <v>30</v>
      </c>
      <c r="B55">
        <v>120413.38002674468</v>
      </c>
      <c r="C55">
        <v>-1773.3800267446786</v>
      </c>
      <c r="E55">
        <v>19.932432432432432</v>
      </c>
      <c r="F55">
        <v>120140</v>
      </c>
    </row>
    <row r="56" spans="1:6" x14ac:dyDescent="0.3">
      <c r="A56">
        <v>31</v>
      </c>
      <c r="B56">
        <v>143942.2564592991</v>
      </c>
      <c r="C56">
        <v>5567.7435407009034</v>
      </c>
      <c r="E56">
        <v>20.608108108108109</v>
      </c>
      <c r="F56">
        <v>120290</v>
      </c>
    </row>
    <row r="57" spans="1:6" x14ac:dyDescent="0.3">
      <c r="A57">
        <v>32</v>
      </c>
      <c r="B57">
        <v>153824.1526554749</v>
      </c>
      <c r="C57">
        <v>-6964.1526554748998</v>
      </c>
      <c r="E57">
        <v>21.283783783783782</v>
      </c>
      <c r="F57">
        <v>120440</v>
      </c>
    </row>
    <row r="58" spans="1:6" x14ac:dyDescent="0.3">
      <c r="A58">
        <v>33</v>
      </c>
      <c r="B58">
        <v>147303.87603617285</v>
      </c>
      <c r="C58">
        <v>-3423.8760361728491</v>
      </c>
      <c r="E58">
        <v>21.95945945945946</v>
      </c>
      <c r="F58">
        <v>120450</v>
      </c>
    </row>
    <row r="59" spans="1:6" x14ac:dyDescent="0.3">
      <c r="A59">
        <v>34</v>
      </c>
      <c r="B59">
        <v>115068.6649430221</v>
      </c>
      <c r="C59">
        <v>3451.3350569778995</v>
      </c>
      <c r="E59">
        <v>22.635135135135137</v>
      </c>
      <c r="F59">
        <v>120530</v>
      </c>
    </row>
    <row r="60" spans="1:6" x14ac:dyDescent="0.3">
      <c r="A60">
        <v>35</v>
      </c>
      <c r="B60">
        <v>139601.56363152224</v>
      </c>
      <c r="C60">
        <v>6468.4363684777636</v>
      </c>
      <c r="E60">
        <v>23.310810810810811</v>
      </c>
      <c r="F60">
        <v>121140</v>
      </c>
    </row>
    <row r="61" spans="1:6" x14ac:dyDescent="0.3">
      <c r="A61">
        <v>36</v>
      </c>
      <c r="B61">
        <v>136117.24279621747</v>
      </c>
      <c r="C61">
        <v>-767.24279621746973</v>
      </c>
      <c r="E61">
        <v>23.986486486486488</v>
      </c>
      <c r="F61">
        <v>121450</v>
      </c>
    </row>
    <row r="62" spans="1:6" x14ac:dyDescent="0.3">
      <c r="A62">
        <v>37</v>
      </c>
      <c r="B62">
        <v>127032.84762160599</v>
      </c>
      <c r="C62">
        <v>-5492.8476216059935</v>
      </c>
      <c r="E62">
        <v>24.662162162162161</v>
      </c>
      <c r="F62">
        <v>121540</v>
      </c>
    </row>
    <row r="63" spans="1:6" x14ac:dyDescent="0.3">
      <c r="A63">
        <v>38</v>
      </c>
      <c r="B63">
        <v>122334.72711834381</v>
      </c>
      <c r="C63">
        <v>10645.272881656187</v>
      </c>
      <c r="E63">
        <v>25.337837837837839</v>
      </c>
      <c r="F63">
        <v>121870</v>
      </c>
    </row>
    <row r="64" spans="1:6" x14ac:dyDescent="0.3">
      <c r="A64">
        <v>39</v>
      </c>
      <c r="B64">
        <v>137044.90310388154</v>
      </c>
      <c r="C64">
        <v>10485.096896118455</v>
      </c>
      <c r="E64">
        <v>26.013513513513512</v>
      </c>
      <c r="F64">
        <v>122080</v>
      </c>
    </row>
    <row r="65" spans="1:6" x14ac:dyDescent="0.3">
      <c r="A65">
        <v>40</v>
      </c>
      <c r="B65">
        <v>128922.12830829072</v>
      </c>
      <c r="C65">
        <v>-432.12830829070299</v>
      </c>
      <c r="E65">
        <v>26.689189189189189</v>
      </c>
      <c r="F65">
        <v>122270</v>
      </c>
    </row>
    <row r="66" spans="1:6" x14ac:dyDescent="0.3">
      <c r="A66">
        <v>41</v>
      </c>
      <c r="B66">
        <v>138758.40455540261</v>
      </c>
      <c r="C66">
        <v>3171.5954445973912</v>
      </c>
      <c r="E66">
        <v>27.364864864864863</v>
      </c>
      <c r="F66">
        <v>122780</v>
      </c>
    </row>
    <row r="67" spans="1:6" x14ac:dyDescent="0.3">
      <c r="A67">
        <v>42</v>
      </c>
      <c r="B67">
        <v>122801.60503041619</v>
      </c>
      <c r="C67">
        <v>748.39496958380914</v>
      </c>
      <c r="E67">
        <v>28.04054054054054</v>
      </c>
      <c r="F67">
        <v>123450</v>
      </c>
    </row>
    <row r="68" spans="1:6" x14ac:dyDescent="0.3">
      <c r="A68">
        <v>43</v>
      </c>
      <c r="B68">
        <v>159676.44438920976</v>
      </c>
      <c r="C68">
        <v>2353.5556107902376</v>
      </c>
      <c r="E68">
        <v>28.716216216216218</v>
      </c>
      <c r="F68">
        <v>123550</v>
      </c>
    </row>
    <row r="69" spans="1:6" x14ac:dyDescent="0.3">
      <c r="A69">
        <v>44</v>
      </c>
      <c r="B69">
        <v>151965.91649031345</v>
      </c>
      <c r="C69">
        <v>5424.0835096865485</v>
      </c>
      <c r="E69">
        <v>29.391891891891891</v>
      </c>
      <c r="F69">
        <v>124050</v>
      </c>
    </row>
    <row r="70" spans="1:6" x14ac:dyDescent="0.3">
      <c r="A70">
        <v>45</v>
      </c>
      <c r="B70">
        <v>124346.70906345954</v>
      </c>
      <c r="C70">
        <v>-9796.709063459537</v>
      </c>
      <c r="E70">
        <v>30.067567567567568</v>
      </c>
      <c r="F70">
        <v>124250</v>
      </c>
    </row>
    <row r="71" spans="1:6" x14ac:dyDescent="0.3">
      <c r="A71">
        <v>46</v>
      </c>
      <c r="B71">
        <v>132098.27632809279</v>
      </c>
      <c r="C71">
        <v>7441.7236719072098</v>
      </c>
      <c r="E71">
        <v>30.743243243243242</v>
      </c>
      <c r="F71">
        <v>124710</v>
      </c>
    </row>
    <row r="72" spans="1:6" x14ac:dyDescent="0.3">
      <c r="A72">
        <v>47</v>
      </c>
      <c r="B72">
        <v>144766.48583587393</v>
      </c>
      <c r="C72">
        <v>5153.5141641260707</v>
      </c>
      <c r="E72">
        <v>31.418918918918919</v>
      </c>
      <c r="F72">
        <v>125760</v>
      </c>
    </row>
    <row r="73" spans="1:6" x14ac:dyDescent="0.3">
      <c r="A73">
        <v>48</v>
      </c>
      <c r="B73">
        <v>127763.98153910227</v>
      </c>
      <c r="C73">
        <v>-5683.9815391022712</v>
      </c>
      <c r="E73">
        <v>32.094594594594589</v>
      </c>
      <c r="F73">
        <v>125840</v>
      </c>
    </row>
    <row r="74" spans="1:6" x14ac:dyDescent="0.3">
      <c r="A74">
        <v>49</v>
      </c>
      <c r="B74">
        <v>132647.15676065625</v>
      </c>
      <c r="C74">
        <v>3862.8432393437542</v>
      </c>
      <c r="E74">
        <v>32.770270270270274</v>
      </c>
      <c r="F74">
        <v>125890</v>
      </c>
    </row>
    <row r="75" spans="1:6" x14ac:dyDescent="0.3">
      <c r="A75">
        <v>50</v>
      </c>
      <c r="B75">
        <v>103425.11052971653</v>
      </c>
      <c r="C75">
        <v>5984.8894702834659</v>
      </c>
      <c r="E75">
        <v>33.445945945945944</v>
      </c>
      <c r="F75">
        <v>126740</v>
      </c>
    </row>
    <row r="76" spans="1:6" x14ac:dyDescent="0.3">
      <c r="A76">
        <v>51</v>
      </c>
      <c r="B76">
        <v>131374.94106606234</v>
      </c>
      <c r="C76">
        <v>-4084.9410660623398</v>
      </c>
      <c r="E76">
        <v>34.121621621621621</v>
      </c>
      <c r="F76">
        <v>127040</v>
      </c>
    </row>
    <row r="77" spans="1:6" x14ac:dyDescent="0.3">
      <c r="A77">
        <v>52</v>
      </c>
      <c r="B77">
        <v>119318.04166168834</v>
      </c>
      <c r="C77">
        <v>1131.9583383116551</v>
      </c>
      <c r="E77">
        <v>34.797297297297298</v>
      </c>
      <c r="F77">
        <v>127290</v>
      </c>
    </row>
    <row r="78" spans="1:6" x14ac:dyDescent="0.3">
      <c r="A78">
        <v>53</v>
      </c>
      <c r="B78">
        <v>144062.79963447369</v>
      </c>
      <c r="C78">
        <v>7897.2003655263106</v>
      </c>
      <c r="E78">
        <v>35.472972972972975</v>
      </c>
      <c r="F78">
        <v>127300</v>
      </c>
    </row>
    <row r="79" spans="1:6" x14ac:dyDescent="0.3">
      <c r="A79">
        <v>54</v>
      </c>
      <c r="B79">
        <v>133118.72957252985</v>
      </c>
      <c r="C79">
        <v>-578.72957252984634</v>
      </c>
      <c r="E79">
        <v>36.148648648648646</v>
      </c>
      <c r="F79">
        <v>128030</v>
      </c>
    </row>
    <row r="80" spans="1:6" x14ac:dyDescent="0.3">
      <c r="A80">
        <v>55</v>
      </c>
      <c r="B80">
        <v>109258.81319170367</v>
      </c>
      <c r="C80">
        <v>5071.1868082963338</v>
      </c>
      <c r="E80">
        <v>36.824324324324323</v>
      </c>
      <c r="F80">
        <v>128490.00000000001</v>
      </c>
    </row>
    <row r="81" spans="1:6" x14ac:dyDescent="0.3">
      <c r="A81">
        <v>56</v>
      </c>
      <c r="B81">
        <v>137846.37966416159</v>
      </c>
      <c r="C81">
        <v>3473.6203358384082</v>
      </c>
      <c r="E81">
        <v>37.5</v>
      </c>
      <c r="F81">
        <v>128520.00000000001</v>
      </c>
    </row>
    <row r="82" spans="1:6" x14ac:dyDescent="0.3">
      <c r="A82">
        <v>57</v>
      </c>
      <c r="B82">
        <v>132241.30790274806</v>
      </c>
      <c r="C82">
        <v>-48481.307902748056</v>
      </c>
      <c r="E82">
        <v>38.175675675675677</v>
      </c>
      <c r="F82">
        <v>129340</v>
      </c>
    </row>
    <row r="83" spans="1:6" x14ac:dyDescent="0.3">
      <c r="A83">
        <v>58</v>
      </c>
      <c r="B83">
        <v>124887.10958496315</v>
      </c>
      <c r="C83">
        <v>-6687.1095849631529</v>
      </c>
      <c r="E83">
        <v>38.851351351351354</v>
      </c>
      <c r="F83">
        <v>129430</v>
      </c>
    </row>
    <row r="84" spans="1:6" x14ac:dyDescent="0.3">
      <c r="A84">
        <v>59</v>
      </c>
      <c r="B84">
        <v>140136.54989213916</v>
      </c>
      <c r="C84">
        <v>63.450107860844582</v>
      </c>
      <c r="E84">
        <v>39.527027027027025</v>
      </c>
      <c r="F84">
        <v>129560</v>
      </c>
    </row>
    <row r="85" spans="1:6" x14ac:dyDescent="0.3">
      <c r="A85">
        <v>60</v>
      </c>
      <c r="B85">
        <v>113380.52933532353</v>
      </c>
      <c r="C85">
        <v>169.470664676468</v>
      </c>
      <c r="E85">
        <v>40.202702702702702</v>
      </c>
      <c r="F85">
        <v>129889.99999999999</v>
      </c>
    </row>
    <row r="86" spans="1:6" x14ac:dyDescent="0.3">
      <c r="A86">
        <v>61</v>
      </c>
      <c r="B86">
        <v>147929.45904481498</v>
      </c>
      <c r="C86">
        <v>8590.5409551850171</v>
      </c>
      <c r="E86">
        <v>40.878378378378379</v>
      </c>
      <c r="F86">
        <v>130080.00000000001</v>
      </c>
    </row>
    <row r="87" spans="1:6" x14ac:dyDescent="0.3">
      <c r="A87">
        <v>62</v>
      </c>
      <c r="B87">
        <v>143802.06422349426</v>
      </c>
      <c r="C87">
        <v>-6452.0642234942643</v>
      </c>
      <c r="E87">
        <v>41.554054054054056</v>
      </c>
      <c r="F87">
        <v>130090</v>
      </c>
    </row>
    <row r="88" spans="1:6" x14ac:dyDescent="0.3">
      <c r="A88">
        <v>63</v>
      </c>
      <c r="B88">
        <v>113404.79708477212</v>
      </c>
      <c r="C88">
        <v>-2794.7970847721153</v>
      </c>
      <c r="E88">
        <v>42.229729729729726</v>
      </c>
      <c r="F88">
        <v>131150</v>
      </c>
    </row>
    <row r="89" spans="1:6" x14ac:dyDescent="0.3">
      <c r="A89">
        <v>64</v>
      </c>
      <c r="B89">
        <v>146605.52788467644</v>
      </c>
      <c r="C89">
        <v>7084.4721153235587</v>
      </c>
      <c r="E89">
        <v>42.905405405405403</v>
      </c>
      <c r="F89">
        <v>131290</v>
      </c>
    </row>
    <row r="90" spans="1:6" x14ac:dyDescent="0.3">
      <c r="A90">
        <v>65</v>
      </c>
      <c r="B90">
        <v>140096.98735406453</v>
      </c>
      <c r="C90">
        <v>13233.012645935465</v>
      </c>
      <c r="E90">
        <v>43.581081081081081</v>
      </c>
      <c r="F90">
        <v>131450</v>
      </c>
    </row>
    <row r="91" spans="1:6" x14ac:dyDescent="0.3">
      <c r="A91">
        <v>66</v>
      </c>
      <c r="B91">
        <v>115616.14475890607</v>
      </c>
      <c r="C91">
        <v>-3666.1447589060699</v>
      </c>
      <c r="E91">
        <v>44.256756756756758</v>
      </c>
      <c r="F91">
        <v>132020</v>
      </c>
    </row>
    <row r="92" spans="1:6" x14ac:dyDescent="0.3">
      <c r="A92">
        <v>67</v>
      </c>
      <c r="B92">
        <v>142912.14899844542</v>
      </c>
      <c r="C92">
        <v>547.85100155457621</v>
      </c>
      <c r="E92">
        <v>44.932432432432435</v>
      </c>
      <c r="F92">
        <v>132320</v>
      </c>
    </row>
    <row r="93" spans="1:6" x14ac:dyDescent="0.3">
      <c r="A93">
        <v>68</v>
      </c>
      <c r="B93">
        <v>150201.07830653622</v>
      </c>
      <c r="C93">
        <v>-8071.0783065362193</v>
      </c>
      <c r="E93">
        <v>45.608108108108105</v>
      </c>
      <c r="F93">
        <v>132450</v>
      </c>
    </row>
    <row r="94" spans="1:6" x14ac:dyDescent="0.3">
      <c r="A94">
        <v>69</v>
      </c>
      <c r="B94">
        <v>153776.71525095159</v>
      </c>
      <c r="C94">
        <v>1683.2847490484128</v>
      </c>
      <c r="E94">
        <v>46.283783783783782</v>
      </c>
      <c r="F94">
        <v>132540</v>
      </c>
    </row>
    <row r="95" spans="1:6" x14ac:dyDescent="0.3">
      <c r="A95">
        <v>70</v>
      </c>
      <c r="B95">
        <v>122576.19220198147</v>
      </c>
      <c r="C95">
        <v>12863.807798018534</v>
      </c>
      <c r="E95">
        <v>46.95945945945946</v>
      </c>
      <c r="F95">
        <v>132680</v>
      </c>
    </row>
    <row r="96" spans="1:6" x14ac:dyDescent="0.3">
      <c r="A96">
        <v>71</v>
      </c>
      <c r="B96">
        <v>134283.61500830165</v>
      </c>
      <c r="C96">
        <v>-6983.6150083016546</v>
      </c>
      <c r="E96">
        <v>47.635135135135137</v>
      </c>
      <c r="F96">
        <v>132980</v>
      </c>
    </row>
    <row r="97" spans="1:6" x14ac:dyDescent="0.3">
      <c r="A97">
        <v>72</v>
      </c>
      <c r="B97">
        <v>116539.22448324319</v>
      </c>
      <c r="C97">
        <v>-2769.2244832431898</v>
      </c>
      <c r="E97">
        <v>48.310810810810807</v>
      </c>
      <c r="F97">
        <v>133270</v>
      </c>
    </row>
    <row r="98" spans="1:6" x14ac:dyDescent="0.3">
      <c r="A98">
        <v>73</v>
      </c>
      <c r="B98">
        <v>147844.2003466936</v>
      </c>
      <c r="C98">
        <v>-6734.2003466936003</v>
      </c>
      <c r="E98">
        <v>48.986486486486484</v>
      </c>
      <c r="F98">
        <v>133270</v>
      </c>
    </row>
    <row r="99" spans="1:6" x14ac:dyDescent="0.3">
      <c r="A99">
        <v>74</v>
      </c>
      <c r="B99">
        <v>128388.5426643533</v>
      </c>
      <c r="C99">
        <v>1691.4573356467154</v>
      </c>
      <c r="E99">
        <v>49.662162162162161</v>
      </c>
      <c r="F99">
        <v>135120</v>
      </c>
    </row>
    <row r="100" spans="1:6" x14ac:dyDescent="0.3">
      <c r="A100">
        <v>75</v>
      </c>
      <c r="B100">
        <v>143720.74295859726</v>
      </c>
      <c r="C100">
        <v>-4370.7429585972568</v>
      </c>
      <c r="E100">
        <v>50.337837837837839</v>
      </c>
      <c r="F100">
        <v>135260</v>
      </c>
    </row>
    <row r="101" spans="1:6" x14ac:dyDescent="0.3">
      <c r="A101">
        <v>76</v>
      </c>
      <c r="B101">
        <v>158305.75708014204</v>
      </c>
      <c r="C101">
        <v>1724.242919857963</v>
      </c>
      <c r="E101">
        <v>51.013513513513516</v>
      </c>
      <c r="F101">
        <v>135320</v>
      </c>
    </row>
    <row r="102" spans="1:6" x14ac:dyDescent="0.3">
      <c r="A102">
        <v>77</v>
      </c>
      <c r="B102">
        <v>153659.76888120431</v>
      </c>
      <c r="C102">
        <v>-819.76888120430522</v>
      </c>
      <c r="E102">
        <v>51.689189189189186</v>
      </c>
      <c r="F102">
        <v>135350</v>
      </c>
    </row>
    <row r="103" spans="1:6" x14ac:dyDescent="0.3">
      <c r="A103">
        <v>78</v>
      </c>
      <c r="B103">
        <v>132871.85022800553</v>
      </c>
      <c r="C103">
        <v>-10601.850228005525</v>
      </c>
      <c r="E103">
        <v>52.364864864864863</v>
      </c>
      <c r="F103">
        <v>135440</v>
      </c>
    </row>
    <row r="104" spans="1:6" x14ac:dyDescent="0.3">
      <c r="A104">
        <v>79</v>
      </c>
      <c r="B104">
        <v>137276.75207659401</v>
      </c>
      <c r="C104">
        <v>8603.2479234059865</v>
      </c>
      <c r="E104">
        <v>53.04054054054054</v>
      </c>
      <c r="F104">
        <v>135570</v>
      </c>
    </row>
    <row r="105" spans="1:6" x14ac:dyDescent="0.3">
      <c r="A105">
        <v>80</v>
      </c>
      <c r="B105">
        <v>117806.10212793329</v>
      </c>
      <c r="C105">
        <v>-2336.1021279332926</v>
      </c>
      <c r="E105">
        <v>53.716216216216218</v>
      </c>
      <c r="F105">
        <v>135620</v>
      </c>
    </row>
    <row r="106" spans="1:6" x14ac:dyDescent="0.3">
      <c r="A106">
        <v>81</v>
      </c>
      <c r="B106">
        <v>136116.56154062343</v>
      </c>
      <c r="C106">
        <v>-396.5615406234283</v>
      </c>
      <c r="E106">
        <v>54.391891891891888</v>
      </c>
      <c r="F106">
        <v>135720</v>
      </c>
    </row>
    <row r="107" spans="1:6" x14ac:dyDescent="0.3">
      <c r="A107">
        <v>82</v>
      </c>
      <c r="B107">
        <v>135107.88249036795</v>
      </c>
      <c r="C107">
        <v>1052.1175096320512</v>
      </c>
      <c r="E107">
        <v>55.067567567567565</v>
      </c>
      <c r="F107">
        <v>135830</v>
      </c>
    </row>
    <row r="108" spans="1:6" x14ac:dyDescent="0.3">
      <c r="A108">
        <v>83</v>
      </c>
      <c r="B108">
        <v>137230.03403315623</v>
      </c>
      <c r="C108">
        <v>7689.9659668437671</v>
      </c>
      <c r="E108">
        <v>55.743243243243242</v>
      </c>
      <c r="F108">
        <v>136010</v>
      </c>
    </row>
    <row r="109" spans="1:6" x14ac:dyDescent="0.3">
      <c r="A109">
        <v>84</v>
      </c>
      <c r="B109">
        <v>130181.88855310905</v>
      </c>
      <c r="C109">
        <v>1108.1114468909509</v>
      </c>
      <c r="E109">
        <v>56.418918918918919</v>
      </c>
      <c r="F109">
        <v>136160</v>
      </c>
    </row>
    <row r="110" spans="1:6" x14ac:dyDescent="0.3">
      <c r="A110">
        <v>85</v>
      </c>
      <c r="B110">
        <v>143671.90493739449</v>
      </c>
      <c r="C110">
        <v>-5141.9049373944872</v>
      </c>
      <c r="E110">
        <v>57.094594594594597</v>
      </c>
      <c r="F110">
        <v>136450</v>
      </c>
    </row>
    <row r="111" spans="1:6" x14ac:dyDescent="0.3">
      <c r="A111">
        <v>86</v>
      </c>
      <c r="B111">
        <v>129519.16550646292</v>
      </c>
      <c r="C111">
        <v>-5469.1655064629158</v>
      </c>
      <c r="E111">
        <v>57.770270270270267</v>
      </c>
      <c r="F111">
        <v>136510</v>
      </c>
    </row>
    <row r="112" spans="1:6" x14ac:dyDescent="0.3">
      <c r="A112">
        <v>87</v>
      </c>
      <c r="B112">
        <v>108339.67090059088</v>
      </c>
      <c r="C112">
        <v>-439.67090059087786</v>
      </c>
      <c r="E112">
        <v>58.445945945945944</v>
      </c>
      <c r="F112">
        <v>136870</v>
      </c>
    </row>
    <row r="113" spans="1:6" x14ac:dyDescent="0.3">
      <c r="A113">
        <v>88</v>
      </c>
      <c r="B113">
        <v>124837.1734693865</v>
      </c>
      <c r="C113">
        <v>-1387.1734693865001</v>
      </c>
      <c r="E113">
        <v>59.121621621621621</v>
      </c>
      <c r="F113">
        <v>137170</v>
      </c>
    </row>
    <row r="114" spans="1:6" x14ac:dyDescent="0.3">
      <c r="A114">
        <v>89</v>
      </c>
      <c r="B114">
        <v>114452.65993981376</v>
      </c>
      <c r="C114">
        <v>-2752.6599398137623</v>
      </c>
      <c r="E114">
        <v>59.797297297297298</v>
      </c>
      <c r="F114">
        <v>137270</v>
      </c>
    </row>
    <row r="115" spans="1:6" x14ac:dyDescent="0.3">
      <c r="A115">
        <v>90</v>
      </c>
      <c r="B115">
        <v>149569.0972591078</v>
      </c>
      <c r="C115">
        <v>-4429.0972591078025</v>
      </c>
      <c r="E115">
        <v>60.472972972972975</v>
      </c>
      <c r="F115">
        <v>137350</v>
      </c>
    </row>
    <row r="116" spans="1:6" x14ac:dyDescent="0.3">
      <c r="A116">
        <v>91</v>
      </c>
      <c r="B116">
        <v>125086.85404726982</v>
      </c>
      <c r="C116">
        <v>-4646.8540472698223</v>
      </c>
      <c r="E116">
        <v>61.148648648648646</v>
      </c>
      <c r="F116">
        <v>138380</v>
      </c>
    </row>
    <row r="117" spans="1:6" x14ac:dyDescent="0.3">
      <c r="A117">
        <v>92</v>
      </c>
      <c r="B117">
        <v>138091.36534224369</v>
      </c>
      <c r="C117">
        <v>-1221.365342243691</v>
      </c>
      <c r="E117">
        <v>61.824324324324323</v>
      </c>
      <c r="F117">
        <v>138530</v>
      </c>
    </row>
    <row r="118" spans="1:6" x14ac:dyDescent="0.3">
      <c r="A118">
        <v>93</v>
      </c>
      <c r="B118">
        <v>128999.51213996342</v>
      </c>
      <c r="C118">
        <v>11300.487860036577</v>
      </c>
      <c r="E118">
        <v>62.5</v>
      </c>
      <c r="F118">
        <v>138820</v>
      </c>
    </row>
    <row r="119" spans="1:6" x14ac:dyDescent="0.3">
      <c r="A119">
        <v>94</v>
      </c>
      <c r="B119">
        <v>110047.75809122527</v>
      </c>
      <c r="C119">
        <v>3732.2419087747257</v>
      </c>
      <c r="E119">
        <v>63.175675675675677</v>
      </c>
      <c r="F119">
        <v>139010</v>
      </c>
    </row>
    <row r="120" spans="1:6" x14ac:dyDescent="0.3">
      <c r="A120">
        <v>95</v>
      </c>
      <c r="B120">
        <v>133660.49260522152</v>
      </c>
      <c r="C120">
        <v>7569.507394778484</v>
      </c>
      <c r="E120">
        <v>63.851351351351347</v>
      </c>
      <c r="F120">
        <v>139350</v>
      </c>
    </row>
    <row r="121" spans="1:6" x14ac:dyDescent="0.3">
      <c r="A121">
        <v>96</v>
      </c>
      <c r="B121">
        <v>109886.21365580516</v>
      </c>
      <c r="C121">
        <v>-5056.213655805157</v>
      </c>
      <c r="E121">
        <v>64.527027027027032</v>
      </c>
      <c r="F121">
        <v>139490</v>
      </c>
    </row>
    <row r="122" spans="1:6" x14ac:dyDescent="0.3">
      <c r="A122">
        <v>97</v>
      </c>
      <c r="B122">
        <v>125967.74342813325</v>
      </c>
      <c r="C122">
        <v>-7177.7434281332535</v>
      </c>
      <c r="E122">
        <v>65.202702702702709</v>
      </c>
      <c r="F122">
        <v>139540</v>
      </c>
    </row>
    <row r="123" spans="1:6" x14ac:dyDescent="0.3">
      <c r="A123">
        <v>98</v>
      </c>
      <c r="B123">
        <v>112765.92494879468</v>
      </c>
      <c r="C123">
        <v>-725.92494879467995</v>
      </c>
      <c r="E123">
        <v>65.878378378378372</v>
      </c>
      <c r="F123">
        <v>140200</v>
      </c>
    </row>
    <row r="124" spans="1:6" x14ac:dyDescent="0.3">
      <c r="A124">
        <v>99</v>
      </c>
      <c r="B124">
        <v>136907.24768462154</v>
      </c>
      <c r="C124">
        <v>362.75231537845684</v>
      </c>
      <c r="E124">
        <v>66.554054054054049</v>
      </c>
      <c r="F124">
        <v>140240</v>
      </c>
    </row>
    <row r="125" spans="1:6" x14ac:dyDescent="0.3">
      <c r="A125">
        <v>100</v>
      </c>
      <c r="B125">
        <v>141136.67282035196</v>
      </c>
      <c r="C125">
        <v>4573.3271796480403</v>
      </c>
      <c r="E125">
        <v>67.229729729729726</v>
      </c>
      <c r="F125">
        <v>140300</v>
      </c>
    </row>
    <row r="126" spans="1:6" x14ac:dyDescent="0.3">
      <c r="A126">
        <v>101</v>
      </c>
      <c r="B126">
        <v>129016.3218617432</v>
      </c>
      <c r="C126">
        <v>9363.6781382568006</v>
      </c>
      <c r="E126">
        <v>67.905405405405403</v>
      </c>
      <c r="F126">
        <v>140590</v>
      </c>
    </row>
    <row r="127" spans="1:6" x14ac:dyDescent="0.3">
      <c r="A127">
        <v>102</v>
      </c>
      <c r="B127">
        <v>115628.63831417309</v>
      </c>
      <c r="C127">
        <v>-6168.6383141730912</v>
      </c>
      <c r="E127">
        <v>68.581081081081081</v>
      </c>
      <c r="F127">
        <v>140820</v>
      </c>
    </row>
    <row r="128" spans="1:6" x14ac:dyDescent="0.3">
      <c r="A128">
        <v>103</v>
      </c>
      <c r="B128">
        <v>155657.09918779664</v>
      </c>
      <c r="C128">
        <v>-10977.099187796644</v>
      </c>
      <c r="E128">
        <v>69.256756756756758</v>
      </c>
      <c r="F128">
        <v>141050</v>
      </c>
    </row>
    <row r="129" spans="1:6" x14ac:dyDescent="0.3">
      <c r="A129">
        <v>104</v>
      </c>
      <c r="B129">
        <v>131950.9285869248</v>
      </c>
      <c r="C129">
        <v>1319.0714130752021</v>
      </c>
      <c r="E129">
        <v>69.932432432432435</v>
      </c>
      <c r="F129">
        <v>141110</v>
      </c>
    </row>
    <row r="130" spans="1:6" x14ac:dyDescent="0.3">
      <c r="A130">
        <v>105</v>
      </c>
      <c r="B130">
        <v>131816.86997309211</v>
      </c>
      <c r="C130">
        <v>1453.1300269078929</v>
      </c>
      <c r="E130">
        <v>70.608108108108112</v>
      </c>
      <c r="F130">
        <v>141230</v>
      </c>
    </row>
    <row r="131" spans="1:6" x14ac:dyDescent="0.3">
      <c r="A131">
        <v>106</v>
      </c>
      <c r="B131">
        <v>146143.94991701646</v>
      </c>
      <c r="C131">
        <v>4236.0500829835364</v>
      </c>
      <c r="E131">
        <v>71.28378378378379</v>
      </c>
      <c r="F131">
        <v>141320</v>
      </c>
    </row>
    <row r="132" spans="1:6" x14ac:dyDescent="0.3">
      <c r="A132">
        <v>107</v>
      </c>
      <c r="B132">
        <v>141519.39012867693</v>
      </c>
      <c r="C132">
        <v>-6259.3901286769251</v>
      </c>
      <c r="E132">
        <v>71.959459459459453</v>
      </c>
      <c r="F132">
        <v>141930</v>
      </c>
    </row>
    <row r="133" spans="1:6" x14ac:dyDescent="0.3">
      <c r="A133">
        <v>108</v>
      </c>
      <c r="B133">
        <v>117461.20611320641</v>
      </c>
      <c r="C133">
        <v>-4861.2061132064118</v>
      </c>
      <c r="E133">
        <v>72.63513513513513</v>
      </c>
      <c r="F133">
        <v>142130</v>
      </c>
    </row>
    <row r="134" spans="1:6" x14ac:dyDescent="0.3">
      <c r="A134">
        <v>109</v>
      </c>
      <c r="B134">
        <v>118463.10839138717</v>
      </c>
      <c r="C134">
        <v>-4233.1083913871698</v>
      </c>
      <c r="E134">
        <v>73.310810810810807</v>
      </c>
      <c r="F134">
        <v>142760</v>
      </c>
    </row>
    <row r="135" spans="1:6" x14ac:dyDescent="0.3">
      <c r="A135">
        <v>110</v>
      </c>
      <c r="B135">
        <v>151996.20354525989</v>
      </c>
      <c r="C135">
        <v>1243.7964547401061</v>
      </c>
      <c r="E135">
        <v>73.986486486486484</v>
      </c>
      <c r="F135">
        <v>142890</v>
      </c>
    </row>
    <row r="136" spans="1:6" x14ac:dyDescent="0.3">
      <c r="A136">
        <v>111</v>
      </c>
      <c r="B136">
        <v>135430.3282111056</v>
      </c>
      <c r="C136">
        <v>-9540.3282111056033</v>
      </c>
      <c r="E136">
        <v>74.662162162162161</v>
      </c>
      <c r="F136">
        <v>143460</v>
      </c>
    </row>
    <row r="137" spans="1:6" x14ac:dyDescent="0.3">
      <c r="A137">
        <v>112</v>
      </c>
      <c r="B137">
        <v>133874.47186727173</v>
      </c>
      <c r="C137">
        <v>1745.5281327282719</v>
      </c>
      <c r="E137">
        <v>75.337837837837839</v>
      </c>
      <c r="F137">
        <v>143880</v>
      </c>
    </row>
    <row r="138" spans="1:6" x14ac:dyDescent="0.3">
      <c r="A138">
        <v>113</v>
      </c>
      <c r="B138">
        <v>137104.83406367182</v>
      </c>
      <c r="C138">
        <v>1715.1659363281797</v>
      </c>
      <c r="E138">
        <v>76.013513513513516</v>
      </c>
      <c r="F138">
        <v>144350</v>
      </c>
    </row>
    <row r="139" spans="1:6" x14ac:dyDescent="0.3">
      <c r="A139">
        <v>114</v>
      </c>
      <c r="B139">
        <v>132306.87943474777</v>
      </c>
      <c r="C139">
        <v>-2876.8794347477669</v>
      </c>
      <c r="E139">
        <v>76.689189189189193</v>
      </c>
      <c r="F139">
        <v>144680</v>
      </c>
    </row>
    <row r="140" spans="1:6" x14ac:dyDescent="0.3">
      <c r="A140">
        <v>115</v>
      </c>
      <c r="B140">
        <v>130064.14661129343</v>
      </c>
      <c r="C140">
        <v>6385.8533887065714</v>
      </c>
      <c r="E140">
        <v>77.36486486486487</v>
      </c>
      <c r="F140">
        <v>144800</v>
      </c>
    </row>
    <row r="141" spans="1:6" x14ac:dyDescent="0.3">
      <c r="A141">
        <v>116</v>
      </c>
      <c r="B141">
        <v>119035.1965845167</v>
      </c>
      <c r="C141">
        <v>7704.8034154833003</v>
      </c>
      <c r="E141">
        <v>78.040540540540533</v>
      </c>
      <c r="F141">
        <v>144920</v>
      </c>
    </row>
    <row r="142" spans="1:6" x14ac:dyDescent="0.3">
      <c r="A142">
        <v>117</v>
      </c>
      <c r="B142">
        <v>127076.3475929049</v>
      </c>
      <c r="C142">
        <v>3013.6524070950982</v>
      </c>
      <c r="E142">
        <v>78.71621621621621</v>
      </c>
      <c r="F142">
        <v>144940</v>
      </c>
    </row>
    <row r="143" spans="1:6" x14ac:dyDescent="0.3">
      <c r="A143">
        <v>118</v>
      </c>
      <c r="B143">
        <v>138906.39544667324</v>
      </c>
      <c r="C143">
        <v>-6226.3954466732393</v>
      </c>
      <c r="E143">
        <v>79.391891891891888</v>
      </c>
      <c r="F143">
        <v>145140</v>
      </c>
    </row>
    <row r="144" spans="1:6" x14ac:dyDescent="0.3">
      <c r="A144">
        <v>119</v>
      </c>
      <c r="B144">
        <v>140517.14722269913</v>
      </c>
      <c r="C144">
        <v>2372.8527773008682</v>
      </c>
      <c r="E144">
        <v>80.067567567567565</v>
      </c>
      <c r="F144">
        <v>145140</v>
      </c>
    </row>
    <row r="145" spans="1:6" x14ac:dyDescent="0.3">
      <c r="A145">
        <v>120</v>
      </c>
      <c r="B145">
        <v>127850.26212061467</v>
      </c>
      <c r="C145">
        <v>-810.26212061467231</v>
      </c>
      <c r="E145">
        <v>80.743243243243242</v>
      </c>
      <c r="F145">
        <v>145710</v>
      </c>
    </row>
    <row r="146" spans="1:6" x14ac:dyDescent="0.3">
      <c r="A146">
        <v>121</v>
      </c>
      <c r="B146">
        <v>126639.37800249053</v>
      </c>
      <c r="C146">
        <v>4810.6219975094718</v>
      </c>
      <c r="E146">
        <v>81.418918918918919</v>
      </c>
      <c r="F146">
        <v>145880</v>
      </c>
    </row>
    <row r="147" spans="1:6" x14ac:dyDescent="0.3">
      <c r="A147">
        <v>122</v>
      </c>
      <c r="B147">
        <v>117878.8672707876</v>
      </c>
      <c r="C147">
        <v>-3308.8672707875958</v>
      </c>
      <c r="E147">
        <v>82.094594594594597</v>
      </c>
      <c r="F147">
        <v>146070</v>
      </c>
    </row>
    <row r="148" spans="1:6" x14ac:dyDescent="0.3">
      <c r="A148">
        <v>123</v>
      </c>
      <c r="B148">
        <v>126430.39616254714</v>
      </c>
      <c r="C148">
        <v>3129.603837452858</v>
      </c>
      <c r="E148">
        <v>82.770270270270274</v>
      </c>
      <c r="F148">
        <v>146860</v>
      </c>
    </row>
    <row r="149" spans="1:6" x14ac:dyDescent="0.3">
      <c r="A149">
        <v>124</v>
      </c>
      <c r="B149">
        <v>142472.03754687504</v>
      </c>
      <c r="C149">
        <v>7077.9624531249574</v>
      </c>
      <c r="E149">
        <v>83.445945945945951</v>
      </c>
      <c r="F149">
        <v>147250</v>
      </c>
    </row>
    <row r="150" spans="1:6" x14ac:dyDescent="0.3">
      <c r="A150">
        <v>125</v>
      </c>
      <c r="B150">
        <v>138619.61293627729</v>
      </c>
      <c r="C150">
        <v>2200.3870637227083</v>
      </c>
      <c r="E150">
        <v>84.121621621621614</v>
      </c>
      <c r="F150">
        <v>147470</v>
      </c>
    </row>
    <row r="151" spans="1:6" x14ac:dyDescent="0.3">
      <c r="A151">
        <v>126</v>
      </c>
      <c r="B151">
        <v>109826.62332381189</v>
      </c>
      <c r="C151">
        <v>1723.3766761881125</v>
      </c>
      <c r="E151">
        <v>84.797297297297291</v>
      </c>
      <c r="F151">
        <v>147530</v>
      </c>
    </row>
    <row r="152" spans="1:6" x14ac:dyDescent="0.3">
      <c r="A152">
        <v>127</v>
      </c>
      <c r="B152">
        <v>149034.07289299948</v>
      </c>
      <c r="C152">
        <v>-6274.0728929994802</v>
      </c>
      <c r="E152">
        <v>85.472972972972968</v>
      </c>
      <c r="F152">
        <v>147530</v>
      </c>
    </row>
    <row r="153" spans="1:6" x14ac:dyDescent="0.3">
      <c r="A153">
        <v>128</v>
      </c>
      <c r="B153">
        <v>123291.65259756328</v>
      </c>
      <c r="C153">
        <v>958.34740243671695</v>
      </c>
      <c r="E153">
        <v>86.148648648648646</v>
      </c>
      <c r="F153">
        <v>148650</v>
      </c>
    </row>
    <row r="154" spans="1:6" x14ac:dyDescent="0.3">
      <c r="A154">
        <v>129</v>
      </c>
      <c r="B154">
        <v>135172.35592799375</v>
      </c>
      <c r="C154">
        <v>-2852.3559279937472</v>
      </c>
      <c r="E154">
        <v>86.824324324324323</v>
      </c>
      <c r="F154">
        <v>149510</v>
      </c>
    </row>
    <row r="155" spans="1:6" x14ac:dyDescent="0.3">
      <c r="A155">
        <v>130</v>
      </c>
      <c r="B155">
        <v>119370.43838282699</v>
      </c>
      <c r="C155">
        <v>2079.5616171730071</v>
      </c>
      <c r="E155">
        <v>87.5</v>
      </c>
      <c r="F155">
        <v>149550</v>
      </c>
    </row>
    <row r="156" spans="1:6" x14ac:dyDescent="0.3">
      <c r="A156">
        <v>131</v>
      </c>
      <c r="B156">
        <v>124560.38580320418</v>
      </c>
      <c r="C156">
        <v>7889.6141967958247</v>
      </c>
      <c r="E156">
        <v>88.175675675675677</v>
      </c>
      <c r="F156">
        <v>149920</v>
      </c>
    </row>
    <row r="157" spans="1:6" x14ac:dyDescent="0.3">
      <c r="A157">
        <v>132</v>
      </c>
      <c r="B157">
        <v>131915.64410987156</v>
      </c>
      <c r="C157">
        <v>3914.3558901284414</v>
      </c>
      <c r="E157">
        <v>88.851351351351354</v>
      </c>
      <c r="F157">
        <v>150250</v>
      </c>
    </row>
    <row r="158" spans="1:6" x14ac:dyDescent="0.3">
      <c r="A158">
        <v>133</v>
      </c>
      <c r="B158">
        <v>125790.50214317866</v>
      </c>
      <c r="C158">
        <v>-30.502143178659026</v>
      </c>
      <c r="E158">
        <v>89.527027027027032</v>
      </c>
      <c r="F158">
        <v>150380</v>
      </c>
    </row>
    <row r="159" spans="1:6" x14ac:dyDescent="0.3">
      <c r="A159">
        <v>134</v>
      </c>
      <c r="B159">
        <v>124446.5812946129</v>
      </c>
      <c r="C159">
        <v>1393.4187053870992</v>
      </c>
      <c r="E159">
        <v>90.202702702702695</v>
      </c>
      <c r="F159">
        <v>151960</v>
      </c>
    </row>
    <row r="160" spans="1:6" x14ac:dyDescent="0.3">
      <c r="A160">
        <v>135</v>
      </c>
      <c r="B160">
        <v>132282.99041858764</v>
      </c>
      <c r="C160">
        <v>3037.0095814123633</v>
      </c>
      <c r="E160">
        <v>90.878378378378372</v>
      </c>
      <c r="F160">
        <v>151990</v>
      </c>
    </row>
    <row r="161" spans="1:6" x14ac:dyDescent="0.3">
      <c r="A161">
        <v>136</v>
      </c>
      <c r="B161">
        <v>121516.17641946979</v>
      </c>
      <c r="C161">
        <v>-1376.1764194697898</v>
      </c>
      <c r="E161">
        <v>91.554054054054049</v>
      </c>
      <c r="F161">
        <v>152260</v>
      </c>
    </row>
    <row r="162" spans="1:6" x14ac:dyDescent="0.3">
      <c r="A162">
        <v>137</v>
      </c>
      <c r="B162">
        <v>146565.54850782195</v>
      </c>
      <c r="C162">
        <v>964.4514921780501</v>
      </c>
      <c r="E162">
        <v>92.229729729729726</v>
      </c>
      <c r="F162">
        <v>152840</v>
      </c>
    </row>
    <row r="163" spans="1:6" x14ac:dyDescent="0.3">
      <c r="A163">
        <v>138</v>
      </c>
      <c r="B163">
        <v>139486.01787845444</v>
      </c>
      <c r="C163">
        <v>5453.9821215455595</v>
      </c>
      <c r="E163">
        <v>92.905405405405403</v>
      </c>
      <c r="F163">
        <v>152900</v>
      </c>
    </row>
    <row r="164" spans="1:6" x14ac:dyDescent="0.3">
      <c r="A164">
        <v>139</v>
      </c>
      <c r="B164">
        <v>139028.75607730722</v>
      </c>
      <c r="C164">
        <v>-3018.7560773072182</v>
      </c>
      <c r="E164">
        <v>93.581081081081081</v>
      </c>
      <c r="F164">
        <v>153240</v>
      </c>
    </row>
    <row r="165" spans="1:6" x14ac:dyDescent="0.3">
      <c r="A165">
        <v>140</v>
      </c>
      <c r="B165">
        <v>131694.50934245816</v>
      </c>
      <c r="C165">
        <v>-12364.509342458157</v>
      </c>
      <c r="E165">
        <v>94.256756756756758</v>
      </c>
      <c r="F165">
        <v>153330</v>
      </c>
    </row>
    <row r="166" spans="1:6" x14ac:dyDescent="0.3">
      <c r="A166">
        <v>141</v>
      </c>
      <c r="B166">
        <v>125638.23319088668</v>
      </c>
      <c r="C166">
        <v>5511.7668091133237</v>
      </c>
      <c r="E166">
        <v>94.932432432432435</v>
      </c>
      <c r="F166">
        <v>153690</v>
      </c>
    </row>
    <row r="167" spans="1:6" x14ac:dyDescent="0.3">
      <c r="A167">
        <v>142</v>
      </c>
      <c r="B167">
        <v>173310.51423154151</v>
      </c>
      <c r="C167">
        <v>-950.51423154151416</v>
      </c>
      <c r="E167">
        <v>95.608108108108112</v>
      </c>
      <c r="F167">
        <v>155460</v>
      </c>
    </row>
    <row r="168" spans="1:6" x14ac:dyDescent="0.3">
      <c r="A168">
        <v>143</v>
      </c>
      <c r="B168">
        <v>129829.83703301899</v>
      </c>
      <c r="C168">
        <v>7340.1629669810063</v>
      </c>
      <c r="E168">
        <v>96.283783783783775</v>
      </c>
      <c r="F168">
        <v>156520</v>
      </c>
    </row>
    <row r="169" spans="1:6" x14ac:dyDescent="0.3">
      <c r="A169">
        <v>144</v>
      </c>
      <c r="B169">
        <v>126254.91944968907</v>
      </c>
      <c r="C169">
        <v>-1544.9194496890705</v>
      </c>
      <c r="E169">
        <v>96.959459459459453</v>
      </c>
      <c r="F169">
        <v>157390</v>
      </c>
    </row>
    <row r="170" spans="1:6" x14ac:dyDescent="0.3">
      <c r="A170">
        <v>145</v>
      </c>
      <c r="B170">
        <v>157810.33335759968</v>
      </c>
      <c r="C170">
        <v>-9160.3333575996803</v>
      </c>
      <c r="E170">
        <v>97.63513513513513</v>
      </c>
      <c r="F170">
        <v>157790</v>
      </c>
    </row>
    <row r="171" spans="1:6" x14ac:dyDescent="0.3">
      <c r="A171">
        <v>146</v>
      </c>
      <c r="B171">
        <v>122334.42459603821</v>
      </c>
      <c r="C171">
        <v>6185.5754039618041</v>
      </c>
      <c r="E171">
        <v>98.310810810810807</v>
      </c>
      <c r="F171">
        <v>160030</v>
      </c>
    </row>
    <row r="172" spans="1:6" x14ac:dyDescent="0.3">
      <c r="A172">
        <v>147</v>
      </c>
      <c r="B172">
        <v>135723.13002699942</v>
      </c>
      <c r="C172">
        <v>-3703.1300269994244</v>
      </c>
      <c r="E172">
        <v>98.986486486486484</v>
      </c>
      <c r="F172">
        <v>162030</v>
      </c>
    </row>
    <row r="173" spans="1:6" ht="15" thickBot="1" x14ac:dyDescent="0.35">
      <c r="A173" s="17">
        <v>148</v>
      </c>
      <c r="B173" s="17">
        <v>130151.22276487417</v>
      </c>
      <c r="C173" s="17">
        <v>-2121.2227648741682</v>
      </c>
      <c r="E173" s="17">
        <v>99.662162162162161</v>
      </c>
      <c r="F173" s="17">
        <v>172360</v>
      </c>
    </row>
  </sheetData>
  <sortState xmlns:xlrd2="http://schemas.microsoft.com/office/spreadsheetml/2017/richdata2" ref="F26:F173">
    <sortCondition ref="F26"/>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ECD91-F52A-4432-92C7-6AF718805890}">
  <dimension ref="A1:K13"/>
  <sheetViews>
    <sheetView topLeftCell="B30" workbookViewId="0">
      <selection activeCell="B5" sqref="B5"/>
    </sheetView>
  </sheetViews>
  <sheetFormatPr defaultRowHeight="14.4" x14ac:dyDescent="0.3"/>
  <cols>
    <col min="1" max="1" width="60.77734375" bestFit="1" customWidth="1"/>
    <col min="2" max="2" width="10.5546875" bestFit="1" customWidth="1"/>
  </cols>
  <sheetData>
    <row r="1" spans="1:11" x14ac:dyDescent="0.3">
      <c r="A1" s="25" t="s">
        <v>66</v>
      </c>
      <c r="K1" s="28" t="str">
        <f>CONCATENATE("Sensitivity of ",$K$4," to ","rail transportation")</f>
        <v>Sensitivity of $B$15 to rail transportation</v>
      </c>
    </row>
    <row r="3" spans="1:11" x14ac:dyDescent="0.3">
      <c r="A3" t="s">
        <v>81</v>
      </c>
      <c r="K3" t="s">
        <v>67</v>
      </c>
    </row>
    <row r="4" spans="1:11" ht="33" x14ac:dyDescent="0.3">
      <c r="B4" s="26" t="s">
        <v>64</v>
      </c>
      <c r="J4" s="28">
        <f>MATCH($K$4,OutputAddresses,0)</f>
        <v>1</v>
      </c>
      <c r="K4" s="27" t="s">
        <v>64</v>
      </c>
    </row>
    <row r="5" spans="1:11" x14ac:dyDescent="0.3">
      <c r="A5">
        <v>20</v>
      </c>
      <c r="B5" s="31" t="s">
        <v>68</v>
      </c>
      <c r="K5" t="str">
        <f>INDEX(OutputValues,1,$J$4)</f>
        <v>Not feasible</v>
      </c>
    </row>
    <row r="6" spans="1:11" x14ac:dyDescent="0.3">
      <c r="A6">
        <v>30</v>
      </c>
      <c r="B6" s="29">
        <v>1840</v>
      </c>
      <c r="K6">
        <f>INDEX(OutputValues,2,$J$4)</f>
        <v>1840</v>
      </c>
    </row>
    <row r="7" spans="1:11" x14ac:dyDescent="0.3">
      <c r="A7">
        <v>40</v>
      </c>
      <c r="B7" s="29">
        <v>1800</v>
      </c>
      <c r="K7">
        <f>INDEX(OutputValues,3,$J$4)</f>
        <v>1800</v>
      </c>
    </row>
    <row r="8" spans="1:11" x14ac:dyDescent="0.3">
      <c r="A8">
        <v>50</v>
      </c>
      <c r="B8" s="29">
        <v>1790</v>
      </c>
      <c r="K8">
        <f>INDEX(OutputValues,4,$J$4)</f>
        <v>1790</v>
      </c>
    </row>
    <row r="9" spans="1:11" x14ac:dyDescent="0.3">
      <c r="A9">
        <v>60</v>
      </c>
      <c r="B9" s="29">
        <v>1780</v>
      </c>
      <c r="K9">
        <f>INDEX(OutputValues,5,$J$4)</f>
        <v>1780</v>
      </c>
    </row>
    <row r="10" spans="1:11" x14ac:dyDescent="0.3">
      <c r="A10">
        <v>70</v>
      </c>
      <c r="B10" s="29">
        <v>1770</v>
      </c>
      <c r="K10">
        <f>INDEX(OutputValues,6,$J$4)</f>
        <v>1770</v>
      </c>
    </row>
    <row r="11" spans="1:11" x14ac:dyDescent="0.3">
      <c r="A11">
        <v>80</v>
      </c>
      <c r="B11" s="29">
        <v>1760</v>
      </c>
      <c r="K11">
        <f>INDEX(OutputValues,7,$J$4)</f>
        <v>1760</v>
      </c>
    </row>
    <row r="12" spans="1:11" x14ac:dyDescent="0.3">
      <c r="A12">
        <v>90</v>
      </c>
      <c r="B12" s="29">
        <v>1750</v>
      </c>
      <c r="K12">
        <f>INDEX(OutputValues,8,$J$4)</f>
        <v>1750</v>
      </c>
    </row>
    <row r="13" spans="1:11" x14ac:dyDescent="0.3">
      <c r="A13">
        <v>100</v>
      </c>
      <c r="B13" s="30">
        <v>1740</v>
      </c>
      <c r="K13">
        <f>INDEX(OutputValues,9,$J$4)</f>
        <v>1740</v>
      </c>
    </row>
  </sheetData>
  <dataValidations count="1">
    <dataValidation type="list" allowBlank="1" showInputMessage="1" showErrorMessage="1" sqref="K4" xr:uid="{92E9EBED-6E24-4923-80C8-0D5618342062}">
      <formula1>OutputAddresses</formula1>
    </dataValidation>
  </dataValidation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367CB-7314-45F7-96B8-CA13668E9863}">
  <dimension ref="A2:M26"/>
  <sheetViews>
    <sheetView tabSelected="1" topLeftCell="A3" zoomScale="53" workbookViewId="0">
      <selection activeCell="G25" sqref="C25:G25"/>
    </sheetView>
  </sheetViews>
  <sheetFormatPr defaultRowHeight="14.4" x14ac:dyDescent="0.3"/>
  <cols>
    <col min="1" max="1" width="49.33203125" bestFit="1" customWidth="1"/>
    <col min="2" max="2" width="15" bestFit="1" customWidth="1"/>
    <col min="3" max="3" width="42.88671875" bestFit="1" customWidth="1"/>
    <col min="4" max="4" width="18.109375" customWidth="1"/>
    <col min="5" max="5" width="15.109375" customWidth="1"/>
    <col min="6" max="6" width="18" customWidth="1"/>
    <col min="7" max="7" width="7.88671875" bestFit="1" customWidth="1"/>
    <col min="8" max="8" width="12.6640625" bestFit="1" customWidth="1"/>
  </cols>
  <sheetData>
    <row r="2" spans="1:13" x14ac:dyDescent="0.3">
      <c r="A2" s="8"/>
      <c r="B2" s="8"/>
      <c r="C2" s="8"/>
      <c r="D2" s="8"/>
      <c r="E2" s="8"/>
      <c r="F2" s="8"/>
      <c r="G2" s="8"/>
      <c r="H2" s="8"/>
      <c r="I2" s="8"/>
    </row>
    <row r="3" spans="1:13" x14ac:dyDescent="0.3">
      <c r="A3" s="42" t="s">
        <v>17</v>
      </c>
      <c r="B3" s="35"/>
      <c r="C3" s="35"/>
      <c r="D3" s="35"/>
      <c r="E3" s="35"/>
      <c r="F3" s="35"/>
      <c r="G3" s="35"/>
      <c r="H3" s="35"/>
      <c r="I3" s="8"/>
    </row>
    <row r="4" spans="1:13" x14ac:dyDescent="0.3">
      <c r="A4" s="35"/>
      <c r="B4" s="35"/>
      <c r="C4" s="43" t="s">
        <v>6</v>
      </c>
      <c r="D4" s="36"/>
      <c r="E4" s="36"/>
      <c r="F4" s="36"/>
      <c r="G4" s="35"/>
      <c r="H4" s="35"/>
      <c r="I4" s="8"/>
    </row>
    <row r="5" spans="1:13" x14ac:dyDescent="0.3">
      <c r="A5" s="35"/>
      <c r="B5" s="35"/>
      <c r="C5" s="37" t="s">
        <v>11</v>
      </c>
      <c r="D5" s="37" t="s">
        <v>12</v>
      </c>
      <c r="E5" s="37" t="s">
        <v>13</v>
      </c>
      <c r="F5" s="37" t="s">
        <v>14</v>
      </c>
      <c r="G5" s="35"/>
      <c r="H5" s="35" t="s">
        <v>15</v>
      </c>
      <c r="I5" s="8"/>
    </row>
    <row r="6" spans="1:13" x14ac:dyDescent="0.3">
      <c r="A6" s="40" t="s">
        <v>7</v>
      </c>
      <c r="B6" s="40" t="s">
        <v>8</v>
      </c>
      <c r="C6" s="12">
        <v>4</v>
      </c>
      <c r="D6" s="12">
        <v>6</v>
      </c>
      <c r="E6" s="12">
        <v>8</v>
      </c>
      <c r="F6" s="12">
        <v>5</v>
      </c>
      <c r="G6" s="8"/>
      <c r="H6" s="13">
        <v>120</v>
      </c>
      <c r="I6" s="8"/>
    </row>
    <row r="7" spans="1:13" x14ac:dyDescent="0.3">
      <c r="A7" s="35"/>
      <c r="B7" s="40" t="s">
        <v>9</v>
      </c>
      <c r="C7" s="12">
        <v>5</v>
      </c>
      <c r="D7" s="12">
        <v>4</v>
      </c>
      <c r="E7" s="12">
        <v>3</v>
      </c>
      <c r="F7" s="12">
        <v>6</v>
      </c>
      <c r="G7" s="8"/>
      <c r="H7" s="13">
        <v>150</v>
      </c>
      <c r="I7" s="8"/>
    </row>
    <row r="8" spans="1:13" x14ac:dyDescent="0.3">
      <c r="A8" s="35"/>
      <c r="B8" s="40" t="s">
        <v>10</v>
      </c>
      <c r="C8" s="12">
        <v>9</v>
      </c>
      <c r="D8" s="12">
        <v>7</v>
      </c>
      <c r="E8" s="12">
        <v>4</v>
      </c>
      <c r="F8" s="12">
        <v>8</v>
      </c>
      <c r="G8" s="8"/>
      <c r="H8" s="13">
        <v>100</v>
      </c>
      <c r="I8" s="8"/>
    </row>
    <row r="9" spans="1:13" x14ac:dyDescent="0.3">
      <c r="A9" s="35"/>
      <c r="B9" s="35"/>
      <c r="C9" s="8"/>
      <c r="D9" s="8"/>
      <c r="E9" s="8"/>
      <c r="F9" s="8"/>
      <c r="G9" s="8"/>
      <c r="H9" s="8"/>
      <c r="I9" s="8"/>
    </row>
    <row r="10" spans="1:13" x14ac:dyDescent="0.3">
      <c r="A10" s="40" t="s">
        <v>16</v>
      </c>
      <c r="B10" s="35"/>
      <c r="C10" s="13">
        <v>80</v>
      </c>
      <c r="D10" s="13">
        <v>70</v>
      </c>
      <c r="E10" s="13">
        <v>90</v>
      </c>
      <c r="F10" s="13">
        <v>130</v>
      </c>
      <c r="G10" s="8"/>
      <c r="H10" s="8"/>
      <c r="I10" s="8"/>
    </row>
    <row r="11" spans="1:13" x14ac:dyDescent="0.3">
      <c r="A11" s="8"/>
      <c r="B11" s="8"/>
      <c r="C11" s="8"/>
      <c r="D11" s="8"/>
      <c r="E11" s="8"/>
      <c r="F11" s="8"/>
      <c r="G11" s="8"/>
      <c r="H11" s="8"/>
      <c r="I11" s="8"/>
    </row>
    <row r="12" spans="1:13" x14ac:dyDescent="0.3">
      <c r="A12" s="12" t="s">
        <v>18</v>
      </c>
      <c r="B12" s="8"/>
      <c r="C12" s="8"/>
      <c r="D12" s="8"/>
      <c r="E12" s="8"/>
      <c r="F12" s="8"/>
      <c r="G12" s="8"/>
      <c r="H12" s="8"/>
      <c r="I12" s="8"/>
    </row>
    <row r="13" spans="1:13" x14ac:dyDescent="0.3">
      <c r="A13" s="12" t="s">
        <v>19</v>
      </c>
      <c r="I13" s="15"/>
      <c r="J13" s="14"/>
      <c r="K13" s="14"/>
      <c r="L13" s="14"/>
      <c r="M13" s="14"/>
    </row>
    <row r="14" spans="1:13" x14ac:dyDescent="0.3">
      <c r="I14" s="15"/>
      <c r="J14" s="14"/>
      <c r="K14" s="14"/>
      <c r="L14" s="14"/>
      <c r="M14" s="14"/>
    </row>
    <row r="15" spans="1:13" x14ac:dyDescent="0.3">
      <c r="A15" s="38" t="s">
        <v>82</v>
      </c>
      <c r="B15" s="39">
        <f>SUMPRODUCT(C6:F8,C18:F20)</f>
        <v>1750</v>
      </c>
    </row>
    <row r="16" spans="1:13" x14ac:dyDescent="0.3">
      <c r="A16" s="38"/>
      <c r="B16" s="38"/>
    </row>
    <row r="17" spans="1:7" x14ac:dyDescent="0.3">
      <c r="A17" s="38"/>
      <c r="B17" s="38"/>
      <c r="C17" s="11" t="s">
        <v>11</v>
      </c>
      <c r="D17" s="11" t="s">
        <v>12</v>
      </c>
      <c r="E17" s="11" t="s">
        <v>13</v>
      </c>
      <c r="F17" s="11" t="s">
        <v>14</v>
      </c>
      <c r="G17" s="11" t="s">
        <v>60</v>
      </c>
    </row>
    <row r="18" spans="1:7" x14ac:dyDescent="0.3">
      <c r="A18" s="38"/>
      <c r="B18" s="40" t="s">
        <v>8</v>
      </c>
      <c r="C18" s="23">
        <v>30</v>
      </c>
      <c r="D18" s="23">
        <v>0</v>
      </c>
      <c r="E18" s="23">
        <v>0</v>
      </c>
      <c r="F18" s="23">
        <v>90</v>
      </c>
      <c r="G18" s="22">
        <f>SUM(C18:F18)</f>
        <v>120</v>
      </c>
    </row>
    <row r="19" spans="1:7" x14ac:dyDescent="0.3">
      <c r="A19" s="38"/>
      <c r="B19" s="40" t="s">
        <v>9</v>
      </c>
      <c r="C19" s="23">
        <v>50</v>
      </c>
      <c r="D19" s="23">
        <v>70</v>
      </c>
      <c r="E19" s="23">
        <v>30</v>
      </c>
      <c r="F19" s="23">
        <v>0</v>
      </c>
      <c r="G19" s="22">
        <f>SUM(C19:F19)</f>
        <v>150</v>
      </c>
    </row>
    <row r="20" spans="1:7" x14ac:dyDescent="0.3">
      <c r="A20" s="38"/>
      <c r="B20" s="40" t="s">
        <v>10</v>
      </c>
      <c r="C20" s="24">
        <v>0</v>
      </c>
      <c r="D20" s="23">
        <v>0</v>
      </c>
      <c r="E20" s="23">
        <v>60</v>
      </c>
      <c r="F20" s="23">
        <v>40</v>
      </c>
      <c r="G20" s="22">
        <f>SUM(C20:F20)</f>
        <v>100</v>
      </c>
    </row>
    <row r="21" spans="1:7" x14ac:dyDescent="0.3">
      <c r="A21" s="38"/>
      <c r="B21" s="40" t="s">
        <v>83</v>
      </c>
      <c r="C21" s="41">
        <f>SUM(C18:C20)</f>
        <v>80</v>
      </c>
      <c r="D21" s="41">
        <f>SUM(D18:D20)</f>
        <v>70</v>
      </c>
      <c r="E21" s="41">
        <f>SUM(E18:E20)</f>
        <v>90</v>
      </c>
      <c r="F21" s="41">
        <f>SUM(F18:F20)</f>
        <v>130</v>
      </c>
    </row>
    <row r="25" spans="1:7" x14ac:dyDescent="0.3">
      <c r="A25" s="12" t="s">
        <v>18</v>
      </c>
      <c r="C25" s="38" t="s">
        <v>61</v>
      </c>
      <c r="D25" s="38"/>
      <c r="E25" s="41">
        <f>F18+F19</f>
        <v>90</v>
      </c>
      <c r="F25" s="38" t="s">
        <v>62</v>
      </c>
      <c r="G25" s="38">
        <v>90</v>
      </c>
    </row>
    <row r="26" spans="1:7" x14ac:dyDescent="0.3">
      <c r="A26" s="12" t="s">
        <v>19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574E7-D1C9-477A-9EBD-DA908F89E318}">
  <dimension ref="A2:N1021"/>
  <sheetViews>
    <sheetView workbookViewId="0">
      <selection activeCell="I25" sqref="I25"/>
    </sheetView>
  </sheetViews>
  <sheetFormatPr defaultRowHeight="14.4" x14ac:dyDescent="0.3"/>
  <cols>
    <col min="1" max="1" width="33.33203125" bestFit="1" customWidth="1"/>
    <col min="2" max="2" width="7" bestFit="1" customWidth="1"/>
    <col min="3" max="6" width="12" bestFit="1" customWidth="1"/>
    <col min="7" max="7" width="5.6640625" bestFit="1" customWidth="1"/>
    <col min="8" max="11" width="27.44140625" bestFit="1" customWidth="1"/>
    <col min="12" max="12" width="14.6640625" bestFit="1" customWidth="1"/>
    <col min="13" max="13" width="19.44140625" bestFit="1" customWidth="1"/>
    <col min="14" max="14" width="12" bestFit="1" customWidth="1"/>
  </cols>
  <sheetData>
    <row r="2" spans="1:13" x14ac:dyDescent="0.3">
      <c r="A2" s="8"/>
      <c r="B2" s="8"/>
      <c r="C2" s="8"/>
      <c r="D2" s="8"/>
      <c r="E2" s="8"/>
      <c r="F2" s="8"/>
      <c r="G2" s="8"/>
      <c r="H2" s="8"/>
      <c r="I2" s="8"/>
    </row>
    <row r="3" spans="1:13" x14ac:dyDescent="0.3">
      <c r="A3" s="7" t="s">
        <v>17</v>
      </c>
      <c r="B3" s="8"/>
      <c r="C3" s="8"/>
      <c r="D3" s="8"/>
      <c r="E3" s="8"/>
      <c r="F3" s="8"/>
      <c r="G3" s="8"/>
      <c r="H3" s="8"/>
      <c r="I3" s="8"/>
    </row>
    <row r="4" spans="1:13" x14ac:dyDescent="0.3">
      <c r="A4" s="8"/>
      <c r="B4" s="8"/>
      <c r="C4" s="9" t="s">
        <v>6</v>
      </c>
      <c r="D4" s="10"/>
      <c r="E4" s="10"/>
      <c r="F4" s="10"/>
      <c r="G4" s="8"/>
      <c r="H4" s="8"/>
      <c r="I4" s="8"/>
    </row>
    <row r="5" spans="1:13" x14ac:dyDescent="0.3">
      <c r="A5" s="8"/>
      <c r="B5" s="8"/>
      <c r="C5" s="11" t="s">
        <v>11</v>
      </c>
      <c r="D5" s="11" t="s">
        <v>12</v>
      </c>
      <c r="E5" s="11" t="s">
        <v>13</v>
      </c>
      <c r="F5" s="11" t="s">
        <v>14</v>
      </c>
      <c r="G5" s="8"/>
      <c r="H5" s="8" t="s">
        <v>15</v>
      </c>
      <c r="I5" s="8"/>
    </row>
    <row r="6" spans="1:13" x14ac:dyDescent="0.3">
      <c r="A6" s="8" t="s">
        <v>7</v>
      </c>
      <c r="B6" s="8" t="s">
        <v>8</v>
      </c>
      <c r="C6" s="12">
        <v>4</v>
      </c>
      <c r="D6" s="12">
        <v>6</v>
      </c>
      <c r="E6" s="12">
        <v>8</v>
      </c>
      <c r="F6" s="12">
        <v>5</v>
      </c>
      <c r="G6" s="8"/>
      <c r="H6" s="13">
        <v>120</v>
      </c>
      <c r="I6" s="8"/>
    </row>
    <row r="7" spans="1:13" x14ac:dyDescent="0.3">
      <c r="A7" s="8"/>
      <c r="B7" s="8" t="s">
        <v>9</v>
      </c>
      <c r="C7" s="12">
        <v>5</v>
      </c>
      <c r="D7" s="12">
        <v>4</v>
      </c>
      <c r="E7" s="12">
        <v>3</v>
      </c>
      <c r="F7" s="12">
        <v>6</v>
      </c>
      <c r="G7" s="8"/>
      <c r="H7" s="13">
        <v>150</v>
      </c>
      <c r="I7" s="8"/>
    </row>
    <row r="8" spans="1:13" x14ac:dyDescent="0.3">
      <c r="A8" s="8"/>
      <c r="B8" s="8" t="s">
        <v>10</v>
      </c>
      <c r="C8" s="12">
        <v>9</v>
      </c>
      <c r="D8" s="12">
        <v>7</v>
      </c>
      <c r="E8" s="12">
        <v>4</v>
      </c>
      <c r="F8" s="12">
        <v>8</v>
      </c>
      <c r="G8" s="8"/>
      <c r="H8" s="13">
        <v>100</v>
      </c>
      <c r="I8" s="8"/>
    </row>
    <row r="9" spans="1:13" x14ac:dyDescent="0.3">
      <c r="A9" s="8"/>
      <c r="B9" s="8"/>
      <c r="C9" s="8"/>
      <c r="D9" s="8"/>
      <c r="E9" s="8"/>
      <c r="F9" s="8"/>
      <c r="G9" s="8"/>
      <c r="H9" s="8"/>
      <c r="I9" s="8"/>
    </row>
    <row r="10" spans="1:13" x14ac:dyDescent="0.3">
      <c r="A10" s="8" t="s">
        <v>23</v>
      </c>
      <c r="B10" s="8"/>
      <c r="C10" s="13">
        <v>80</v>
      </c>
      <c r="D10" s="13">
        <v>70</v>
      </c>
      <c r="E10" s="13">
        <v>90</v>
      </c>
      <c r="F10" s="13">
        <v>130</v>
      </c>
      <c r="G10" s="8"/>
      <c r="H10" s="8" t="s">
        <v>25</v>
      </c>
      <c r="I10" s="8" t="s">
        <v>26</v>
      </c>
    </row>
    <row r="11" spans="1:13" x14ac:dyDescent="0.3">
      <c r="A11" s="8" t="s">
        <v>24</v>
      </c>
      <c r="B11" s="8"/>
      <c r="C11" s="13">
        <v>1</v>
      </c>
      <c r="D11" s="13">
        <v>1</v>
      </c>
      <c r="E11" s="13">
        <v>1</v>
      </c>
      <c r="F11" s="13">
        <v>1</v>
      </c>
      <c r="G11" s="8"/>
      <c r="H11" s="12">
        <v>2</v>
      </c>
      <c r="I11" s="12">
        <v>20</v>
      </c>
    </row>
    <row r="12" spans="1:13" x14ac:dyDescent="0.3">
      <c r="L12" s="14"/>
      <c r="M12" s="14"/>
    </row>
    <row r="15" spans="1:13" x14ac:dyDescent="0.3">
      <c r="C15" s="11" t="s">
        <v>11</v>
      </c>
      <c r="D15" s="11" t="s">
        <v>12</v>
      </c>
      <c r="E15" s="11" t="s">
        <v>13</v>
      </c>
      <c r="F15" s="11" t="s">
        <v>14</v>
      </c>
    </row>
    <row r="16" spans="1:13" x14ac:dyDescent="0.3">
      <c r="B16" s="8" t="s">
        <v>8</v>
      </c>
      <c r="C16" s="23">
        <v>30</v>
      </c>
      <c r="D16" s="23">
        <v>0</v>
      </c>
      <c r="E16" s="23">
        <v>0</v>
      </c>
      <c r="F16" s="23">
        <v>90</v>
      </c>
      <c r="G16" s="22">
        <f>SUM(C16:F16)</f>
        <v>120</v>
      </c>
    </row>
    <row r="17" spans="2:14" x14ac:dyDescent="0.3">
      <c r="B17" s="8" t="s">
        <v>9</v>
      </c>
      <c r="C17" s="23">
        <v>50</v>
      </c>
      <c r="D17" s="23">
        <v>70</v>
      </c>
      <c r="E17" s="23">
        <v>30</v>
      </c>
      <c r="F17" s="23">
        <v>0</v>
      </c>
      <c r="G17" s="22">
        <f t="shared" ref="G17:G18" si="0">SUM(C17:F17)</f>
        <v>150</v>
      </c>
    </row>
    <row r="18" spans="2:14" x14ac:dyDescent="0.3">
      <c r="B18" s="8" t="s">
        <v>10</v>
      </c>
      <c r="C18" s="24">
        <v>0</v>
      </c>
      <c r="D18" s="23">
        <v>0</v>
      </c>
      <c r="E18" s="23">
        <v>60</v>
      </c>
      <c r="F18" s="23">
        <v>40</v>
      </c>
      <c r="G18" s="22">
        <f t="shared" si="0"/>
        <v>100</v>
      </c>
    </row>
    <row r="19" spans="2:14" x14ac:dyDescent="0.3">
      <c r="C19" s="22">
        <f xml:space="preserve"> SUM(C16:C18)</f>
        <v>80</v>
      </c>
      <c r="D19" s="22">
        <f t="shared" ref="D19:F19" si="1" xml:space="preserve"> SUM(D16:D18)</f>
        <v>70</v>
      </c>
      <c r="E19" s="22">
        <f t="shared" si="1"/>
        <v>90</v>
      </c>
      <c r="F19" s="22">
        <f t="shared" si="1"/>
        <v>130</v>
      </c>
    </row>
    <row r="20" spans="2:14" x14ac:dyDescent="0.3">
      <c r="M20" t="s">
        <v>75</v>
      </c>
      <c r="N20" s="33">
        <f>AVERAGE(L22:L1021)</f>
        <v>35.388333571972908</v>
      </c>
    </row>
    <row r="21" spans="2:14" x14ac:dyDescent="0.3">
      <c r="C21" t="s">
        <v>70</v>
      </c>
      <c r="D21" t="s">
        <v>71</v>
      </c>
      <c r="E21" t="s">
        <v>72</v>
      </c>
      <c r="F21" t="s">
        <v>73</v>
      </c>
      <c r="H21" t="s">
        <v>77</v>
      </c>
      <c r="I21" t="s">
        <v>78</v>
      </c>
      <c r="J21" t="s">
        <v>79</v>
      </c>
      <c r="K21" t="s">
        <v>80</v>
      </c>
      <c r="L21" t="s">
        <v>74</v>
      </c>
      <c r="M21" t="s">
        <v>76</v>
      </c>
      <c r="N21">
        <f>_xlfn.STDEV.P(L22:L1021)</f>
        <v>23.088606838685653</v>
      </c>
    </row>
    <row r="22" spans="2:14" x14ac:dyDescent="0.3">
      <c r="C22">
        <v>78.807122665311908</v>
      </c>
      <c r="D22">
        <v>68.766893440915737</v>
      </c>
      <c r="E22">
        <v>89.56949636725767</v>
      </c>
      <c r="F22">
        <v>130.6117147677287</v>
      </c>
      <c r="H22" s="33">
        <f>IF(C22&gt;$C$19,(C22-$C$19)*$I$11,($C$19-C22)*$H$11)</f>
        <v>2.3857546693761833</v>
      </c>
      <c r="I22">
        <f>IF(D22&gt;$D$19,(D22-$D$19)*$I$11,($D$19-D22)*$H$11)</f>
        <v>2.4662131181685254</v>
      </c>
      <c r="J22">
        <f>IF(E22&gt;$E$19,(E22-$E$19)*$I$11,($E$19-E22)*$H$11)</f>
        <v>0.861007265484659</v>
      </c>
      <c r="K22">
        <f>IF(F22&gt;$F$19,(F22-$F$19)*$I$11,($F$19-F22)*$H$11)</f>
        <v>12.234295354573987</v>
      </c>
      <c r="L22" s="33">
        <f>SUM(H22:K22)</f>
        <v>17.947270407603355</v>
      </c>
    </row>
    <row r="23" spans="2:14" x14ac:dyDescent="0.3">
      <c r="C23">
        <v>78.588668859156314</v>
      </c>
      <c r="D23">
        <v>70.59967533161398</v>
      </c>
      <c r="E23">
        <v>89.072347236506175</v>
      </c>
      <c r="F23">
        <v>128.66931830183603</v>
      </c>
      <c r="H23" s="33">
        <f t="shared" ref="H23:H86" si="2">IF(C23&gt;$C$19,(C23-$C$19)*$I$11,($C$19-C23)*$H$11)</f>
        <v>2.8226622816873714</v>
      </c>
      <c r="I23">
        <f t="shared" ref="I23:I86" si="3">IF(D23&gt;$D$19,(D23-$D$19)*$I$11,($D$19-D23)*$H$11)</f>
        <v>11.993506632279605</v>
      </c>
      <c r="J23">
        <f t="shared" ref="J23:J86" si="4">IF(E23&gt;$E$19,(E23-$E$19)*$I$11,($E$19-E23)*$H$11)</f>
        <v>1.8553055269876495</v>
      </c>
      <c r="K23">
        <f t="shared" ref="K23:K86" si="5">IF(F23&gt;$F$19,(F23-$F$19)*$I$11,($F$19-F23)*$H$11)</f>
        <v>2.6613633963279426</v>
      </c>
      <c r="L23" s="33">
        <f t="shared" ref="L23:L86" si="6">SUM(H23:K23)</f>
        <v>19.332837837282568</v>
      </c>
    </row>
    <row r="24" spans="2:14" x14ac:dyDescent="0.3">
      <c r="C24">
        <v>80.172476575244218</v>
      </c>
      <c r="D24">
        <v>70.106110746855848</v>
      </c>
      <c r="E24">
        <v>87.943505150033161</v>
      </c>
      <c r="F24">
        <v>129.88365175340732</v>
      </c>
      <c r="H24" s="33">
        <f t="shared" si="2"/>
        <v>3.4495315048843622</v>
      </c>
      <c r="I24">
        <f t="shared" si="3"/>
        <v>2.1222149371169508</v>
      </c>
      <c r="J24">
        <f t="shared" si="4"/>
        <v>4.1129896999336779</v>
      </c>
      <c r="K24">
        <f t="shared" si="5"/>
        <v>0.23269649318535812</v>
      </c>
      <c r="L24" s="33">
        <f t="shared" si="6"/>
        <v>9.917432635120349</v>
      </c>
    </row>
    <row r="25" spans="2:14" x14ac:dyDescent="0.3">
      <c r="C25">
        <v>79.755900716991164</v>
      </c>
      <c r="D25">
        <v>71.232126578543102</v>
      </c>
      <c r="E25">
        <v>91.01520754469675</v>
      </c>
      <c r="F25">
        <v>128.27335159352515</v>
      </c>
      <c r="H25" s="33">
        <f t="shared" si="2"/>
        <v>0.48819856601767242</v>
      </c>
      <c r="I25">
        <f t="shared" si="3"/>
        <v>24.642531570862047</v>
      </c>
      <c r="J25">
        <f t="shared" si="4"/>
        <v>20.304150893935002</v>
      </c>
      <c r="K25">
        <f t="shared" si="5"/>
        <v>3.4532968129497021</v>
      </c>
      <c r="L25" s="33">
        <f t="shared" si="6"/>
        <v>48.888177843764424</v>
      </c>
    </row>
    <row r="26" spans="2:14" x14ac:dyDescent="0.3">
      <c r="C26">
        <v>79.097003637871239</v>
      </c>
      <c r="D26">
        <v>70.120046479423763</v>
      </c>
      <c r="E26">
        <v>89.706163862356334</v>
      </c>
      <c r="F26">
        <v>130.51346887630643</v>
      </c>
      <c r="H26" s="33">
        <f t="shared" si="2"/>
        <v>1.8059927242575213</v>
      </c>
      <c r="I26">
        <f t="shared" si="3"/>
        <v>2.4009295884752646</v>
      </c>
      <c r="J26">
        <f t="shared" si="4"/>
        <v>0.58767227528733201</v>
      </c>
      <c r="K26">
        <f t="shared" si="5"/>
        <v>10.269377526128665</v>
      </c>
      <c r="L26" s="33">
        <f t="shared" si="6"/>
        <v>15.063972114148783</v>
      </c>
    </row>
    <row r="27" spans="2:14" x14ac:dyDescent="0.3">
      <c r="C27">
        <v>81.308751507167472</v>
      </c>
      <c r="D27">
        <v>70.442789769294905</v>
      </c>
      <c r="E27">
        <v>92.289780240971595</v>
      </c>
      <c r="F27">
        <v>130.37836343835806</v>
      </c>
      <c r="H27" s="33">
        <f t="shared" si="2"/>
        <v>26.175030143349431</v>
      </c>
      <c r="I27">
        <f t="shared" si="3"/>
        <v>8.8557953858980909</v>
      </c>
      <c r="J27">
        <f t="shared" si="4"/>
        <v>45.795604819431901</v>
      </c>
      <c r="K27">
        <f t="shared" si="5"/>
        <v>7.5672687671612948</v>
      </c>
      <c r="L27" s="33">
        <f t="shared" si="6"/>
        <v>88.393699115840718</v>
      </c>
    </row>
    <row r="28" spans="2:14" x14ac:dyDescent="0.3">
      <c r="C28">
        <v>79.511164787691087</v>
      </c>
      <c r="D28">
        <v>71.359412635792978</v>
      </c>
      <c r="E28">
        <v>89.177691734075779</v>
      </c>
      <c r="F28">
        <v>128.24158294359222</v>
      </c>
      <c r="H28" s="33">
        <f t="shared" si="2"/>
        <v>0.97767042461782694</v>
      </c>
      <c r="I28">
        <f t="shared" si="3"/>
        <v>27.188252715859562</v>
      </c>
      <c r="J28">
        <f t="shared" si="4"/>
        <v>1.6446165318484418</v>
      </c>
      <c r="K28">
        <f t="shared" si="5"/>
        <v>3.5168341128155589</v>
      </c>
      <c r="L28" s="33">
        <f t="shared" si="6"/>
        <v>33.32737378514139</v>
      </c>
    </row>
    <row r="29" spans="2:14" x14ac:dyDescent="0.3">
      <c r="C29">
        <v>80.286654540104792</v>
      </c>
      <c r="D29">
        <v>69.068575107230572</v>
      </c>
      <c r="E29">
        <v>91.12433099275222</v>
      </c>
      <c r="F29">
        <v>130.43714408093365</v>
      </c>
      <c r="H29" s="33">
        <f t="shared" si="2"/>
        <v>5.7330908020958304</v>
      </c>
      <c r="I29">
        <f t="shared" si="3"/>
        <v>1.8628497855388559</v>
      </c>
      <c r="J29">
        <f t="shared" si="4"/>
        <v>22.48661985504441</v>
      </c>
      <c r="K29">
        <f t="shared" si="5"/>
        <v>8.7428816186729819</v>
      </c>
      <c r="L29" s="33">
        <f t="shared" si="6"/>
        <v>38.825442061352078</v>
      </c>
    </row>
    <row r="30" spans="2:14" x14ac:dyDescent="0.3">
      <c r="C30">
        <v>81.41527834784938</v>
      </c>
      <c r="D30">
        <v>69.874404466027045</v>
      </c>
      <c r="E30">
        <v>89.244525952235563</v>
      </c>
      <c r="F30">
        <v>129.28186070974334</v>
      </c>
      <c r="H30" s="33">
        <f t="shared" si="2"/>
        <v>28.305566956987604</v>
      </c>
      <c r="I30">
        <f t="shared" si="3"/>
        <v>0.25119106794591062</v>
      </c>
      <c r="J30">
        <f t="shared" si="4"/>
        <v>1.5109480955288745</v>
      </c>
      <c r="K30">
        <f t="shared" si="5"/>
        <v>1.4362785805133171</v>
      </c>
      <c r="L30" s="33">
        <f t="shared" si="6"/>
        <v>31.503984700975707</v>
      </c>
    </row>
    <row r="31" spans="2:14" x14ac:dyDescent="0.3">
      <c r="C31">
        <v>80.060355205278029</v>
      </c>
      <c r="D31">
        <v>71.048160811478738</v>
      </c>
      <c r="E31">
        <v>90.673793465466588</v>
      </c>
      <c r="F31">
        <v>128.33273705007741</v>
      </c>
      <c r="H31" s="33">
        <f t="shared" si="2"/>
        <v>1.2071041055605747</v>
      </c>
      <c r="I31">
        <f t="shared" si="3"/>
        <v>20.963216229574755</v>
      </c>
      <c r="J31">
        <f t="shared" si="4"/>
        <v>13.475869309331756</v>
      </c>
      <c r="K31">
        <f t="shared" si="5"/>
        <v>3.3345258998451754</v>
      </c>
      <c r="L31" s="33">
        <f t="shared" si="6"/>
        <v>38.980715544312261</v>
      </c>
    </row>
    <row r="32" spans="2:14" x14ac:dyDescent="0.3">
      <c r="C32">
        <v>78.994730958656874</v>
      </c>
      <c r="D32">
        <v>69.254764588840771</v>
      </c>
      <c r="E32">
        <v>93.220047801733017</v>
      </c>
      <c r="F32">
        <v>131.44767000165302</v>
      </c>
      <c r="H32" s="33">
        <f t="shared" si="2"/>
        <v>2.0105380826862529</v>
      </c>
      <c r="I32">
        <f t="shared" si="3"/>
        <v>1.4904708223184571</v>
      </c>
      <c r="J32">
        <f t="shared" si="4"/>
        <v>64.400956034660339</v>
      </c>
      <c r="K32">
        <f t="shared" si="5"/>
        <v>28.953400033060461</v>
      </c>
      <c r="L32" s="33">
        <f t="shared" si="6"/>
        <v>96.855364972725511</v>
      </c>
    </row>
    <row r="33" spans="3:12" x14ac:dyDescent="0.3">
      <c r="C33">
        <v>79.625167674821569</v>
      </c>
      <c r="D33">
        <v>68.552984834532253</v>
      </c>
      <c r="E33">
        <v>89.968133579386631</v>
      </c>
      <c r="F33">
        <v>129.45848458082764</v>
      </c>
      <c r="H33" s="33">
        <f t="shared" si="2"/>
        <v>0.74966465035686269</v>
      </c>
      <c r="I33">
        <f t="shared" si="3"/>
        <v>2.8940303309354931</v>
      </c>
      <c r="J33">
        <f t="shared" si="4"/>
        <v>6.3732841226737946E-2</v>
      </c>
      <c r="K33">
        <f t="shared" si="5"/>
        <v>1.0830308383447118</v>
      </c>
      <c r="L33" s="33">
        <f t="shared" si="6"/>
        <v>4.7904586608638056</v>
      </c>
    </row>
    <row r="34" spans="3:12" x14ac:dyDescent="0.3">
      <c r="C34">
        <v>80.572334784010309</v>
      </c>
      <c r="D34">
        <v>71.682819856796414</v>
      </c>
      <c r="E34">
        <v>90.490215370518854</v>
      </c>
      <c r="F34">
        <v>131.07231699075783</v>
      </c>
      <c r="H34" s="33">
        <f t="shared" si="2"/>
        <v>11.446695680206176</v>
      </c>
      <c r="I34">
        <f t="shared" si="3"/>
        <v>33.656397135928273</v>
      </c>
      <c r="J34">
        <f t="shared" si="4"/>
        <v>9.8043074103770778</v>
      </c>
      <c r="K34">
        <f t="shared" si="5"/>
        <v>21.446339815156534</v>
      </c>
      <c r="L34" s="33">
        <f t="shared" si="6"/>
        <v>76.353740041668061</v>
      </c>
    </row>
    <row r="35" spans="3:12" x14ac:dyDescent="0.3">
      <c r="C35">
        <v>80.119121068564709</v>
      </c>
      <c r="D35">
        <v>70.154643657879205</v>
      </c>
      <c r="E35">
        <v>89.921776634437265</v>
      </c>
      <c r="F35">
        <v>130.33280684874626</v>
      </c>
      <c r="H35" s="33">
        <f t="shared" si="2"/>
        <v>2.3824213712941855</v>
      </c>
      <c r="I35">
        <f t="shared" si="3"/>
        <v>3.0928731575841084</v>
      </c>
      <c r="J35">
        <f t="shared" si="4"/>
        <v>0.15644673112547025</v>
      </c>
      <c r="K35">
        <f t="shared" si="5"/>
        <v>6.6561369749251753</v>
      </c>
      <c r="L35" s="33">
        <f t="shared" si="6"/>
        <v>12.287878234928939</v>
      </c>
    </row>
    <row r="36" spans="3:12" x14ac:dyDescent="0.3">
      <c r="C36">
        <v>79.935122332317405</v>
      </c>
      <c r="D36">
        <v>72.968736225739121</v>
      </c>
      <c r="E36">
        <v>89.60936293064151</v>
      </c>
      <c r="F36">
        <v>127.84301508043427</v>
      </c>
      <c r="H36" s="33">
        <f t="shared" si="2"/>
        <v>0.12975533536518924</v>
      </c>
      <c r="I36">
        <f t="shared" si="3"/>
        <v>59.374724514782429</v>
      </c>
      <c r="J36">
        <f t="shared" si="4"/>
        <v>0.78127413871698081</v>
      </c>
      <c r="K36">
        <f t="shared" si="5"/>
        <v>4.3139698391314596</v>
      </c>
      <c r="L36" s="33">
        <f t="shared" si="6"/>
        <v>64.599723827996058</v>
      </c>
    </row>
    <row r="37" spans="3:12" x14ac:dyDescent="0.3">
      <c r="C37">
        <v>79.770061549497768</v>
      </c>
      <c r="D37">
        <v>69.754007831143099</v>
      </c>
      <c r="E37">
        <v>89.832568846613867</v>
      </c>
      <c r="F37">
        <v>131.87322257261258</v>
      </c>
      <c r="H37" s="33">
        <f t="shared" si="2"/>
        <v>0.45987690100446343</v>
      </c>
      <c r="I37">
        <f t="shared" si="3"/>
        <v>0.49198433771380223</v>
      </c>
      <c r="J37">
        <f t="shared" si="4"/>
        <v>0.33486230677226558</v>
      </c>
      <c r="K37">
        <f t="shared" si="5"/>
        <v>37.464451452251524</v>
      </c>
      <c r="L37" s="33">
        <f t="shared" si="6"/>
        <v>38.751174997742055</v>
      </c>
    </row>
    <row r="38" spans="3:12" x14ac:dyDescent="0.3">
      <c r="C38">
        <v>78.207549651851878</v>
      </c>
      <c r="D38">
        <v>68.414787114597857</v>
      </c>
      <c r="E38">
        <v>89.596284396830015</v>
      </c>
      <c r="F38">
        <v>130.34902200241049</v>
      </c>
      <c r="H38" s="33">
        <f t="shared" si="2"/>
        <v>3.5849006962962449</v>
      </c>
      <c r="I38">
        <f t="shared" si="3"/>
        <v>3.170425770804286</v>
      </c>
      <c r="J38">
        <f t="shared" si="4"/>
        <v>0.80743120633997023</v>
      </c>
      <c r="K38">
        <f t="shared" si="5"/>
        <v>6.9804400482098572</v>
      </c>
      <c r="L38" s="33">
        <f t="shared" si="6"/>
        <v>14.543197721650358</v>
      </c>
    </row>
    <row r="39" spans="3:12" x14ac:dyDescent="0.3">
      <c r="C39">
        <v>80.317482999889762</v>
      </c>
      <c r="D39">
        <v>71.703997440927196</v>
      </c>
      <c r="E39">
        <v>90.277182152785826</v>
      </c>
      <c r="F39">
        <v>132.01693183043972</v>
      </c>
      <c r="H39" s="33">
        <f t="shared" si="2"/>
        <v>6.3496599977952428</v>
      </c>
      <c r="I39">
        <f t="shared" si="3"/>
        <v>34.079948818543926</v>
      </c>
      <c r="J39">
        <f t="shared" si="4"/>
        <v>5.5436430557165295</v>
      </c>
      <c r="K39">
        <f t="shared" si="5"/>
        <v>40.338636608794332</v>
      </c>
      <c r="L39" s="33">
        <f t="shared" si="6"/>
        <v>86.31188848085003</v>
      </c>
    </row>
    <row r="40" spans="3:12" x14ac:dyDescent="0.3">
      <c r="C40">
        <v>80.379595803678967</v>
      </c>
      <c r="D40">
        <v>70.827468511488405</v>
      </c>
      <c r="E40">
        <v>91.016232999972999</v>
      </c>
      <c r="F40">
        <v>130.3517061486491</v>
      </c>
      <c r="H40" s="33">
        <f t="shared" si="2"/>
        <v>7.5919160735793412</v>
      </c>
      <c r="I40">
        <f t="shared" si="3"/>
        <v>16.549370229768101</v>
      </c>
      <c r="J40">
        <f t="shared" si="4"/>
        <v>20.324659999459982</v>
      </c>
      <c r="K40">
        <f t="shared" si="5"/>
        <v>7.0341229729820043</v>
      </c>
      <c r="L40" s="33">
        <f t="shared" si="6"/>
        <v>51.500069275789429</v>
      </c>
    </row>
    <row r="41" spans="3:12" x14ac:dyDescent="0.3">
      <c r="C41">
        <v>78.822868292336352</v>
      </c>
      <c r="D41">
        <v>70.859679403220071</v>
      </c>
      <c r="E41">
        <v>89.945467834550072</v>
      </c>
      <c r="F41">
        <v>131.86925717571285</v>
      </c>
      <c r="H41" s="33">
        <f t="shared" si="2"/>
        <v>2.3542634153272957</v>
      </c>
      <c r="I41">
        <f t="shared" si="3"/>
        <v>17.193588064401411</v>
      </c>
      <c r="J41">
        <f t="shared" si="4"/>
        <v>0.10906433089985512</v>
      </c>
      <c r="K41">
        <f t="shared" si="5"/>
        <v>37.385143514256924</v>
      </c>
      <c r="L41" s="33">
        <f t="shared" si="6"/>
        <v>57.042059324885486</v>
      </c>
    </row>
    <row r="42" spans="3:12" x14ac:dyDescent="0.3">
      <c r="C42">
        <v>81.117591637012083</v>
      </c>
      <c r="D42">
        <v>69.347367065638537</v>
      </c>
      <c r="E42">
        <v>90.603524767939234</v>
      </c>
      <c r="F42">
        <v>129.89042635206715</v>
      </c>
      <c r="H42" s="33">
        <f t="shared" si="2"/>
        <v>22.351832740241662</v>
      </c>
      <c r="I42">
        <f t="shared" si="3"/>
        <v>1.3052658687229268</v>
      </c>
      <c r="J42">
        <f t="shared" si="4"/>
        <v>12.070495358784683</v>
      </c>
      <c r="K42">
        <f t="shared" si="5"/>
        <v>0.21914729586569592</v>
      </c>
      <c r="L42" s="33">
        <f t="shared" si="6"/>
        <v>35.946741263614967</v>
      </c>
    </row>
    <row r="43" spans="3:12" x14ac:dyDescent="0.3">
      <c r="C43">
        <v>79.374390426964965</v>
      </c>
      <c r="D43">
        <v>70.707391336618457</v>
      </c>
      <c r="E43">
        <v>90.058976183936466</v>
      </c>
      <c r="F43">
        <v>130.88803290054784</v>
      </c>
      <c r="H43" s="33">
        <f t="shared" si="2"/>
        <v>1.2512191460700706</v>
      </c>
      <c r="I43">
        <f t="shared" si="3"/>
        <v>14.14782673236914</v>
      </c>
      <c r="J43">
        <f t="shared" si="4"/>
        <v>1.1795236787293106</v>
      </c>
      <c r="K43">
        <f t="shared" si="5"/>
        <v>17.760658010956831</v>
      </c>
      <c r="L43" s="33">
        <f t="shared" si="6"/>
        <v>34.339227568125352</v>
      </c>
    </row>
    <row r="44" spans="3:12" x14ac:dyDescent="0.3">
      <c r="C44">
        <v>79.293689825208276</v>
      </c>
      <c r="D44">
        <v>69.426763679366559</v>
      </c>
      <c r="E44">
        <v>88.340972524601966</v>
      </c>
      <c r="F44">
        <v>132.54898623097688</v>
      </c>
      <c r="H44" s="33">
        <f t="shared" si="2"/>
        <v>1.4126203495834488</v>
      </c>
      <c r="I44">
        <f t="shared" si="3"/>
        <v>1.1464726412668824</v>
      </c>
      <c r="J44">
        <f t="shared" si="4"/>
        <v>3.3180549507960677</v>
      </c>
      <c r="K44">
        <f t="shared" si="5"/>
        <v>50.979724619537592</v>
      </c>
      <c r="L44" s="33">
        <f t="shared" si="6"/>
        <v>56.856872561183991</v>
      </c>
    </row>
    <row r="45" spans="3:12" x14ac:dyDescent="0.3">
      <c r="C45">
        <v>78.02617821842432</v>
      </c>
      <c r="D45">
        <v>69.426584054162959</v>
      </c>
      <c r="E45">
        <v>90.257282408711035</v>
      </c>
      <c r="F45">
        <v>128.6116927175317</v>
      </c>
      <c r="H45" s="33">
        <f t="shared" si="2"/>
        <v>3.9476435631513596</v>
      </c>
      <c r="I45">
        <f t="shared" si="3"/>
        <v>1.1468318916740827</v>
      </c>
      <c r="J45">
        <f t="shared" si="4"/>
        <v>5.1456481742206961</v>
      </c>
      <c r="K45">
        <f t="shared" si="5"/>
        <v>2.7766145649366081</v>
      </c>
      <c r="L45" s="33">
        <f t="shared" si="6"/>
        <v>13.016738193982746</v>
      </c>
    </row>
    <row r="46" spans="3:12" x14ac:dyDescent="0.3">
      <c r="C46">
        <v>79.812129090059898</v>
      </c>
      <c r="D46">
        <v>68.558841980411671</v>
      </c>
      <c r="E46">
        <v>89.850385847821599</v>
      </c>
      <c r="F46">
        <v>129.35492041913676</v>
      </c>
      <c r="H46" s="33">
        <f t="shared" si="2"/>
        <v>0.37574181988020428</v>
      </c>
      <c r="I46">
        <f t="shared" si="3"/>
        <v>2.8823160391766578</v>
      </c>
      <c r="J46">
        <f t="shared" si="4"/>
        <v>0.29922830435680225</v>
      </c>
      <c r="K46">
        <f t="shared" si="5"/>
        <v>1.2901591617264785</v>
      </c>
      <c r="L46" s="33">
        <f t="shared" si="6"/>
        <v>4.8474453251401428</v>
      </c>
    </row>
    <row r="47" spans="3:12" x14ac:dyDescent="0.3">
      <c r="C47">
        <v>80.980594450084027</v>
      </c>
      <c r="D47">
        <v>69.568992734566564</v>
      </c>
      <c r="E47">
        <v>89.425772330141626</v>
      </c>
      <c r="F47">
        <v>131.18775005830685</v>
      </c>
      <c r="H47" s="33">
        <f t="shared" si="2"/>
        <v>19.611889001680538</v>
      </c>
      <c r="I47">
        <f t="shared" si="3"/>
        <v>0.86201453086687252</v>
      </c>
      <c r="J47">
        <f t="shared" si="4"/>
        <v>1.1484553397167474</v>
      </c>
      <c r="K47">
        <f t="shared" si="5"/>
        <v>23.755001166136935</v>
      </c>
      <c r="L47" s="33">
        <f t="shared" si="6"/>
        <v>45.377360038401093</v>
      </c>
    </row>
    <row r="48" spans="3:12" x14ac:dyDescent="0.3">
      <c r="C48">
        <v>80.329573595081456</v>
      </c>
      <c r="D48">
        <v>68.902605966577539</v>
      </c>
      <c r="E48">
        <v>90.301032514471444</v>
      </c>
      <c r="F48">
        <v>130.31498984753853</v>
      </c>
      <c r="H48" s="33">
        <f t="shared" si="2"/>
        <v>6.5914719016291201</v>
      </c>
      <c r="I48">
        <f t="shared" si="3"/>
        <v>2.1947880668449216</v>
      </c>
      <c r="J48">
        <f t="shared" si="4"/>
        <v>6.020650289428886</v>
      </c>
      <c r="K48">
        <f t="shared" si="5"/>
        <v>6.299796950770542</v>
      </c>
      <c r="L48" s="33">
        <f t="shared" si="6"/>
        <v>21.10670720867347</v>
      </c>
    </row>
    <row r="49" spans="3:12" x14ac:dyDescent="0.3">
      <c r="C49">
        <v>78.461412360484246</v>
      </c>
      <c r="D49">
        <v>68.428611434064806</v>
      </c>
      <c r="E49">
        <v>90.529946646565804</v>
      </c>
      <c r="F49">
        <v>131.05440904007992</v>
      </c>
      <c r="H49" s="33">
        <f t="shared" si="2"/>
        <v>3.0771752790315077</v>
      </c>
      <c r="I49">
        <f t="shared" si="3"/>
        <v>3.142777131870389</v>
      </c>
      <c r="J49">
        <f t="shared" si="4"/>
        <v>10.598932931316085</v>
      </c>
      <c r="K49">
        <f t="shared" si="5"/>
        <v>21.088180801598355</v>
      </c>
      <c r="L49" s="33">
        <f t="shared" si="6"/>
        <v>37.907066143816337</v>
      </c>
    </row>
    <row r="50" spans="3:12" x14ac:dyDescent="0.3">
      <c r="C50">
        <v>79.035971995908767</v>
      </c>
      <c r="D50">
        <v>70.259102534982958</v>
      </c>
      <c r="E50">
        <v>90.385192606700002</v>
      </c>
      <c r="F50">
        <v>129.86746161084739</v>
      </c>
      <c r="H50" s="33">
        <f t="shared" si="2"/>
        <v>1.928056008182466</v>
      </c>
      <c r="I50">
        <f t="shared" si="3"/>
        <v>5.1820506996591575</v>
      </c>
      <c r="J50">
        <f t="shared" si="4"/>
        <v>7.7038521340000443</v>
      </c>
      <c r="K50">
        <f t="shared" si="5"/>
        <v>0.2650767783052288</v>
      </c>
      <c r="L50" s="33">
        <f t="shared" si="6"/>
        <v>15.079035620146897</v>
      </c>
    </row>
    <row r="51" spans="3:12" x14ac:dyDescent="0.3">
      <c r="C51">
        <v>80.338634436047869</v>
      </c>
      <c r="D51">
        <v>70.342849943990586</v>
      </c>
      <c r="E51">
        <v>89.488363755517639</v>
      </c>
      <c r="F51">
        <v>129.68324118526652</v>
      </c>
      <c r="H51" s="33">
        <f t="shared" si="2"/>
        <v>6.7726887209573761</v>
      </c>
      <c r="I51">
        <f t="shared" si="3"/>
        <v>6.8569988798117265</v>
      </c>
      <c r="J51">
        <f t="shared" si="4"/>
        <v>1.0232724889647216</v>
      </c>
      <c r="K51">
        <f t="shared" si="5"/>
        <v>0.63351762946695089</v>
      </c>
      <c r="L51" s="33">
        <f t="shared" si="6"/>
        <v>15.286477719200775</v>
      </c>
    </row>
    <row r="52" spans="3:12" x14ac:dyDescent="0.3">
      <c r="C52">
        <v>79.776263166495482</v>
      </c>
      <c r="D52">
        <v>69.373460468632402</v>
      </c>
      <c r="E52">
        <v>88.441880961763673</v>
      </c>
      <c r="F52">
        <v>129.41926489555044</v>
      </c>
      <c r="H52" s="33">
        <f t="shared" si="2"/>
        <v>0.44747366700903513</v>
      </c>
      <c r="I52">
        <f t="shared" si="3"/>
        <v>1.2530790627351962</v>
      </c>
      <c r="J52">
        <f t="shared" si="4"/>
        <v>3.1162380764726549</v>
      </c>
      <c r="K52">
        <f t="shared" si="5"/>
        <v>1.161470208899118</v>
      </c>
      <c r="L52" s="33">
        <f t="shared" si="6"/>
        <v>5.9782610151160043</v>
      </c>
    </row>
    <row r="53" spans="3:12" x14ac:dyDescent="0.3">
      <c r="C53">
        <v>79.988640411174856</v>
      </c>
      <c r="D53">
        <v>70.073389401222812</v>
      </c>
      <c r="E53">
        <v>89.98726252670167</v>
      </c>
      <c r="F53">
        <v>130.13323301573109</v>
      </c>
      <c r="H53" s="33">
        <f t="shared" si="2"/>
        <v>2.2719177650287747E-2</v>
      </c>
      <c r="I53">
        <f t="shared" si="3"/>
        <v>1.4677880244562402</v>
      </c>
      <c r="J53">
        <f t="shared" si="4"/>
        <v>2.547494659665972E-2</v>
      </c>
      <c r="K53">
        <f t="shared" si="5"/>
        <v>2.6646603146218695</v>
      </c>
      <c r="L53" s="33">
        <f t="shared" si="6"/>
        <v>4.1806424633250572</v>
      </c>
    </row>
    <row r="54" spans="3:12" x14ac:dyDescent="0.3">
      <c r="C54">
        <v>80.391958110412816</v>
      </c>
      <c r="D54">
        <v>70.663367245579138</v>
      </c>
      <c r="E54">
        <v>87.856903064530343</v>
      </c>
      <c r="F54">
        <v>128.7184992278344</v>
      </c>
      <c r="H54" s="33">
        <f t="shared" si="2"/>
        <v>7.8391622082563117</v>
      </c>
      <c r="I54">
        <f t="shared" si="3"/>
        <v>13.267344911582768</v>
      </c>
      <c r="J54">
        <f t="shared" si="4"/>
        <v>4.2861938709393144</v>
      </c>
      <c r="K54">
        <f t="shared" si="5"/>
        <v>2.5630015443312004</v>
      </c>
      <c r="L54" s="33">
        <f t="shared" si="6"/>
        <v>27.955702535109594</v>
      </c>
    </row>
    <row r="55" spans="3:12" x14ac:dyDescent="0.3">
      <c r="C55">
        <v>79.850076619622996</v>
      </c>
      <c r="D55">
        <v>68.843568391748704</v>
      </c>
      <c r="E55">
        <v>90.47834532779234</v>
      </c>
      <c r="F55">
        <v>131.22756318887696</v>
      </c>
      <c r="H55" s="33">
        <f t="shared" si="2"/>
        <v>0.29984676075400785</v>
      </c>
      <c r="I55">
        <f t="shared" si="3"/>
        <v>2.312863216502592</v>
      </c>
      <c r="J55">
        <f t="shared" si="4"/>
        <v>9.5669065558467992</v>
      </c>
      <c r="K55">
        <f t="shared" si="5"/>
        <v>24.551263777539134</v>
      </c>
      <c r="L55" s="33">
        <f t="shared" si="6"/>
        <v>36.730880310642533</v>
      </c>
    </row>
    <row r="56" spans="3:12" x14ac:dyDescent="0.3">
      <c r="C56">
        <v>79.593960637866985</v>
      </c>
      <c r="D56">
        <v>69.302204969353625</v>
      </c>
      <c r="E56">
        <v>89.613901309203357</v>
      </c>
      <c r="F56">
        <v>128.99320982876816</v>
      </c>
      <c r="H56" s="33">
        <f t="shared" si="2"/>
        <v>0.81207872426602989</v>
      </c>
      <c r="I56">
        <f t="shared" si="3"/>
        <v>1.3955900612927508</v>
      </c>
      <c r="J56">
        <f t="shared" si="4"/>
        <v>0.77219738159328699</v>
      </c>
      <c r="K56">
        <f t="shared" si="5"/>
        <v>2.0135803424636833</v>
      </c>
      <c r="L56" s="33">
        <f t="shared" si="6"/>
        <v>4.993446509615751</v>
      </c>
    </row>
    <row r="57" spans="3:12" x14ac:dyDescent="0.3">
      <c r="C57">
        <v>79.198855675786035</v>
      </c>
      <c r="D57">
        <v>70.308405105897691</v>
      </c>
      <c r="E57">
        <v>90.69448105932679</v>
      </c>
      <c r="F57">
        <v>128.96826011536177</v>
      </c>
      <c r="H57" s="33">
        <f t="shared" si="2"/>
        <v>1.6022886484279297</v>
      </c>
      <c r="I57">
        <f t="shared" si="3"/>
        <v>6.168102117953822</v>
      </c>
      <c r="J57">
        <f t="shared" si="4"/>
        <v>13.889621186535805</v>
      </c>
      <c r="K57">
        <f t="shared" si="5"/>
        <v>2.063479769276455</v>
      </c>
      <c r="L57" s="33">
        <f t="shared" si="6"/>
        <v>23.723491722194012</v>
      </c>
    </row>
    <row r="58" spans="3:12" x14ac:dyDescent="0.3">
      <c r="C58">
        <v>79.36131189315347</v>
      </c>
      <c r="D58">
        <v>69.52362713884213</v>
      </c>
      <c r="E58">
        <v>90.224364384848741</v>
      </c>
      <c r="F58">
        <v>129.02766148807132</v>
      </c>
      <c r="H58" s="33">
        <f t="shared" si="2"/>
        <v>1.27737621369306</v>
      </c>
      <c r="I58">
        <f t="shared" si="3"/>
        <v>0.95274572231573984</v>
      </c>
      <c r="J58">
        <f t="shared" si="4"/>
        <v>4.4872876969748177</v>
      </c>
      <c r="K58">
        <f t="shared" si="5"/>
        <v>1.9446770238573663</v>
      </c>
      <c r="L58" s="33">
        <f t="shared" si="6"/>
        <v>8.6620866568409838</v>
      </c>
    </row>
    <row r="59" spans="3:12" x14ac:dyDescent="0.3">
      <c r="C59">
        <v>79.979918356984854</v>
      </c>
      <c r="D59">
        <v>68.855284957244294</v>
      </c>
      <c r="E59">
        <v>90.356185410055332</v>
      </c>
      <c r="F59">
        <v>129.9782346549182</v>
      </c>
      <c r="H59" s="33">
        <f t="shared" si="2"/>
        <v>4.0163286030292511E-2</v>
      </c>
      <c r="I59">
        <f t="shared" si="3"/>
        <v>2.2894300855114125</v>
      </c>
      <c r="J59">
        <f t="shared" si="4"/>
        <v>7.1237082011066377</v>
      </c>
      <c r="K59">
        <f t="shared" si="5"/>
        <v>4.3530690163606778E-2</v>
      </c>
      <c r="L59" s="33">
        <f t="shared" si="6"/>
        <v>9.4968322628119495</v>
      </c>
    </row>
    <row r="60" spans="3:12" x14ac:dyDescent="0.3">
      <c r="C60">
        <v>78.718849383294582</v>
      </c>
      <c r="D60">
        <v>69.582134933007183</v>
      </c>
      <c r="E60">
        <v>89.264123289322015</v>
      </c>
      <c r="F60">
        <v>130.95578116088291</v>
      </c>
      <c r="H60" s="33">
        <f t="shared" si="2"/>
        <v>2.5623012334108353</v>
      </c>
      <c r="I60">
        <f t="shared" si="3"/>
        <v>0.83573013398563489</v>
      </c>
      <c r="J60">
        <f t="shared" si="4"/>
        <v>1.4717534213559702</v>
      </c>
      <c r="K60">
        <f t="shared" si="5"/>
        <v>19.11562321765814</v>
      </c>
      <c r="L60" s="33">
        <f t="shared" si="6"/>
        <v>23.98540800641058</v>
      </c>
    </row>
    <row r="61" spans="3:12" x14ac:dyDescent="0.3">
      <c r="C61">
        <v>80.137169990921393</v>
      </c>
      <c r="D61">
        <v>69.459989794559078</v>
      </c>
      <c r="E61">
        <v>90.171854708241881</v>
      </c>
      <c r="F61">
        <v>128.67834958422463</v>
      </c>
      <c r="H61" s="33">
        <f t="shared" si="2"/>
        <v>2.7433998184278607</v>
      </c>
      <c r="I61">
        <f t="shared" si="3"/>
        <v>1.0800204108818434</v>
      </c>
      <c r="J61">
        <f t="shared" si="4"/>
        <v>3.4370941648376174</v>
      </c>
      <c r="K61">
        <f t="shared" si="5"/>
        <v>2.6433008315507323</v>
      </c>
      <c r="L61" s="33">
        <f t="shared" si="6"/>
        <v>9.9038152256980538</v>
      </c>
    </row>
    <row r="62" spans="3:12" x14ac:dyDescent="0.3">
      <c r="C62">
        <v>79.541205397690646</v>
      </c>
      <c r="D62">
        <v>70.29191937755968</v>
      </c>
      <c r="E62">
        <v>90.508673565491335</v>
      </c>
      <c r="F62">
        <v>129.40233919915045</v>
      </c>
      <c r="H62" s="33">
        <f t="shared" si="2"/>
        <v>0.9175892046187073</v>
      </c>
      <c r="I62">
        <f t="shared" si="3"/>
        <v>5.8383875511935912</v>
      </c>
      <c r="J62">
        <f t="shared" si="4"/>
        <v>10.173471309826709</v>
      </c>
      <c r="K62">
        <f t="shared" si="5"/>
        <v>1.1953216016991064</v>
      </c>
      <c r="L62" s="33">
        <f t="shared" si="6"/>
        <v>18.124769667338114</v>
      </c>
    </row>
    <row r="63" spans="3:12" x14ac:dyDescent="0.3">
      <c r="C63">
        <v>79.215822299447609</v>
      </c>
      <c r="D63">
        <v>70.483239546156256</v>
      </c>
      <c r="E63">
        <v>91.924254320329055</v>
      </c>
      <c r="F63">
        <v>131.22028268378926</v>
      </c>
      <c r="H63" s="33">
        <f t="shared" si="2"/>
        <v>1.5683554011047818</v>
      </c>
      <c r="I63">
        <f t="shared" si="3"/>
        <v>9.6647909231251106</v>
      </c>
      <c r="J63">
        <f t="shared" si="4"/>
        <v>38.485086406581104</v>
      </c>
      <c r="K63">
        <f t="shared" si="5"/>
        <v>24.405653675785288</v>
      </c>
      <c r="L63" s="33">
        <f t="shared" si="6"/>
        <v>74.123886406596284</v>
      </c>
    </row>
    <row r="64" spans="3:12" x14ac:dyDescent="0.3">
      <c r="C64">
        <v>80.394188646168914</v>
      </c>
      <c r="D64">
        <v>68.567648162861587</v>
      </c>
      <c r="E64">
        <v>89.877024947636528</v>
      </c>
      <c r="F64">
        <v>131.07954974737368</v>
      </c>
      <c r="H64" s="33">
        <f t="shared" si="2"/>
        <v>7.8837729233782738</v>
      </c>
      <c r="I64">
        <f t="shared" si="3"/>
        <v>2.864703674276825</v>
      </c>
      <c r="J64">
        <f t="shared" si="4"/>
        <v>0.24595010472694412</v>
      </c>
      <c r="K64">
        <f t="shared" si="5"/>
        <v>21.590994947473519</v>
      </c>
      <c r="L64" s="33">
        <f t="shared" si="6"/>
        <v>32.585421649855562</v>
      </c>
    </row>
    <row r="65" spans="3:12" x14ac:dyDescent="0.3">
      <c r="C65">
        <v>79.614065018249676</v>
      </c>
      <c r="D65">
        <v>70.015950263332343</v>
      </c>
      <c r="E65">
        <v>90.59154444898013</v>
      </c>
      <c r="F65">
        <v>128.91178049438167</v>
      </c>
      <c r="H65" s="33">
        <f t="shared" si="2"/>
        <v>0.77186996350064874</v>
      </c>
      <c r="I65">
        <f t="shared" si="3"/>
        <v>0.31900526664685458</v>
      </c>
      <c r="J65">
        <f t="shared" si="4"/>
        <v>11.830888979602605</v>
      </c>
      <c r="K65">
        <f t="shared" si="5"/>
        <v>2.1764390112366527</v>
      </c>
      <c r="L65" s="33">
        <f t="shared" si="6"/>
        <v>15.098203220986761</v>
      </c>
    </row>
    <row r="66" spans="3:12" x14ac:dyDescent="0.3">
      <c r="C66">
        <v>80.436638174505788</v>
      </c>
      <c r="D66">
        <v>70.470126906293444</v>
      </c>
      <c r="E66">
        <v>89.613653471897123</v>
      </c>
      <c r="F66">
        <v>129.59595243126387</v>
      </c>
      <c r="H66" s="33">
        <f t="shared" si="2"/>
        <v>8.732763490115758</v>
      </c>
      <c r="I66">
        <f t="shared" si="3"/>
        <v>9.4025381258688867</v>
      </c>
      <c r="J66">
        <f t="shared" si="4"/>
        <v>0.77269305620575324</v>
      </c>
      <c r="K66">
        <f t="shared" si="5"/>
        <v>0.80809513747226447</v>
      </c>
      <c r="L66" s="33">
        <f t="shared" si="6"/>
        <v>19.716089809662662</v>
      </c>
    </row>
    <row r="67" spans="3:12" x14ac:dyDescent="0.3">
      <c r="C67">
        <v>80.519675040777656</v>
      </c>
      <c r="D67">
        <v>69.869005478103645</v>
      </c>
      <c r="E67">
        <v>91.712887751637027</v>
      </c>
      <c r="F67">
        <v>129.36851963866502</v>
      </c>
      <c r="H67" s="33">
        <f t="shared" si="2"/>
        <v>10.393500815553125</v>
      </c>
      <c r="I67">
        <f t="shared" si="3"/>
        <v>0.26198904379270971</v>
      </c>
      <c r="J67">
        <f t="shared" si="4"/>
        <v>34.257755032740533</v>
      </c>
      <c r="K67">
        <f t="shared" si="5"/>
        <v>1.2629607226699591</v>
      </c>
      <c r="L67" s="33">
        <f t="shared" si="6"/>
        <v>46.176205614756327</v>
      </c>
    </row>
    <row r="68" spans="3:12" x14ac:dyDescent="0.3">
      <c r="C68">
        <v>80.032019897844293</v>
      </c>
      <c r="D68">
        <v>70.565589743928285</v>
      </c>
      <c r="E68">
        <v>90.619666025158949</v>
      </c>
      <c r="F68">
        <v>129.81983137331554</v>
      </c>
      <c r="H68" s="33">
        <f t="shared" si="2"/>
        <v>0.6403979568858631</v>
      </c>
      <c r="I68">
        <f t="shared" si="3"/>
        <v>11.311794878565706</v>
      </c>
      <c r="J68">
        <f t="shared" si="4"/>
        <v>12.393320503178984</v>
      </c>
      <c r="K68">
        <f t="shared" si="5"/>
        <v>0.3603372533689253</v>
      </c>
      <c r="L68" s="33">
        <f t="shared" si="6"/>
        <v>24.705850591999479</v>
      </c>
    </row>
    <row r="69" spans="3:12" x14ac:dyDescent="0.3">
      <c r="C69">
        <v>79.393351117760176</v>
      </c>
      <c r="D69">
        <v>69.737335656391224</v>
      </c>
      <c r="E69">
        <v>91.564590093039442</v>
      </c>
      <c r="F69">
        <v>128.40749296708964</v>
      </c>
      <c r="H69" s="33">
        <f t="shared" si="2"/>
        <v>1.2132977644796483</v>
      </c>
      <c r="I69">
        <f t="shared" si="3"/>
        <v>0.52532868721755221</v>
      </c>
      <c r="J69">
        <f t="shared" si="4"/>
        <v>31.291801860788837</v>
      </c>
      <c r="K69">
        <f t="shared" si="5"/>
        <v>3.1850140658207238</v>
      </c>
      <c r="L69" s="33">
        <f t="shared" si="6"/>
        <v>36.215442378306761</v>
      </c>
    </row>
    <row r="70" spans="3:12" x14ac:dyDescent="0.3">
      <c r="C70">
        <v>78.969822172512067</v>
      </c>
      <c r="D70">
        <v>71.068110577762127</v>
      </c>
      <c r="E70">
        <v>89.261615357681876</v>
      </c>
      <c r="F70">
        <v>130.26781435735757</v>
      </c>
      <c r="H70" s="33">
        <f t="shared" si="2"/>
        <v>2.060355654975865</v>
      </c>
      <c r="I70">
        <f t="shared" si="3"/>
        <v>21.362211555242538</v>
      </c>
      <c r="J70">
        <f t="shared" si="4"/>
        <v>1.4767692846362479</v>
      </c>
      <c r="K70">
        <f t="shared" si="5"/>
        <v>5.3562871471513063</v>
      </c>
      <c r="L70" s="33">
        <f t="shared" si="6"/>
        <v>30.255623642005958</v>
      </c>
    </row>
    <row r="71" spans="3:12" x14ac:dyDescent="0.3">
      <c r="C71">
        <v>79.313092757802224</v>
      </c>
      <c r="D71">
        <v>70.253173766395776</v>
      </c>
      <c r="E71">
        <v>90.118967591333785</v>
      </c>
      <c r="F71">
        <v>130.7666130841244</v>
      </c>
      <c r="H71" s="33">
        <f t="shared" si="2"/>
        <v>1.3738144843955524</v>
      </c>
      <c r="I71">
        <f t="shared" si="3"/>
        <v>5.063475327915512</v>
      </c>
      <c r="J71">
        <f t="shared" si="4"/>
        <v>2.3793518266757019</v>
      </c>
      <c r="K71">
        <f t="shared" si="5"/>
        <v>15.332261682488024</v>
      </c>
      <c r="L71" s="33">
        <f t="shared" si="6"/>
        <v>24.148903321474791</v>
      </c>
    </row>
    <row r="72" spans="3:12" x14ac:dyDescent="0.3">
      <c r="C72">
        <v>80.385275598091539</v>
      </c>
      <c r="D72">
        <v>70.13153567124391</v>
      </c>
      <c r="E72">
        <v>90.673410340823466</v>
      </c>
      <c r="F72">
        <v>131.5734940461698</v>
      </c>
      <c r="H72" s="33">
        <f t="shared" si="2"/>
        <v>7.7055119618307799</v>
      </c>
      <c r="I72">
        <f t="shared" si="3"/>
        <v>2.6307134248781949</v>
      </c>
      <c r="J72">
        <f t="shared" si="4"/>
        <v>13.468206816469319</v>
      </c>
      <c r="K72">
        <f t="shared" si="5"/>
        <v>31.469880923395976</v>
      </c>
      <c r="L72" s="33">
        <f t="shared" si="6"/>
        <v>55.27431312657427</v>
      </c>
    </row>
    <row r="73" spans="3:12" x14ac:dyDescent="0.3">
      <c r="C73">
        <v>79.215717707556905</v>
      </c>
      <c r="D73">
        <v>72.18109562410973</v>
      </c>
      <c r="E73">
        <v>88.456146386160981</v>
      </c>
      <c r="F73">
        <v>129.88596186994982</v>
      </c>
      <c r="H73" s="33">
        <f t="shared" si="2"/>
        <v>1.5685645848861896</v>
      </c>
      <c r="I73">
        <f t="shared" si="3"/>
        <v>43.621912482194602</v>
      </c>
      <c r="J73">
        <f t="shared" si="4"/>
        <v>3.0877072276780382</v>
      </c>
      <c r="K73">
        <f t="shared" si="5"/>
        <v>0.22807626010035165</v>
      </c>
      <c r="L73" s="33">
        <f t="shared" si="6"/>
        <v>48.506260554859182</v>
      </c>
    </row>
    <row r="74" spans="3:12" x14ac:dyDescent="0.3">
      <c r="C74">
        <v>78.999917352193734</v>
      </c>
      <c r="D74">
        <v>70.917934812605381</v>
      </c>
      <c r="E74">
        <v>90.611344148637727</v>
      </c>
      <c r="F74">
        <v>129.33949084152118</v>
      </c>
      <c r="H74" s="33">
        <f t="shared" si="2"/>
        <v>2.0001652956125326</v>
      </c>
      <c r="I74">
        <f t="shared" si="3"/>
        <v>18.35869625210762</v>
      </c>
      <c r="J74">
        <f t="shared" si="4"/>
        <v>12.226882972754538</v>
      </c>
      <c r="K74">
        <f t="shared" si="5"/>
        <v>1.3210183169576339</v>
      </c>
      <c r="L74" s="33">
        <f t="shared" si="6"/>
        <v>33.906762837432325</v>
      </c>
    </row>
    <row r="75" spans="3:12" x14ac:dyDescent="0.3">
      <c r="C75">
        <v>82.032975316978991</v>
      </c>
      <c r="D75">
        <v>69.734563971287571</v>
      </c>
      <c r="E75">
        <v>89.583387761958875</v>
      </c>
      <c r="F75">
        <v>129.46485104374005</v>
      </c>
      <c r="H75" s="33">
        <f t="shared" si="2"/>
        <v>40.659506339579821</v>
      </c>
      <c r="I75">
        <f t="shared" si="3"/>
        <v>0.53087205742485821</v>
      </c>
      <c r="J75">
        <f t="shared" si="4"/>
        <v>0.83322447608225048</v>
      </c>
      <c r="K75">
        <f t="shared" si="5"/>
        <v>1.0702979125198908</v>
      </c>
      <c r="L75" s="33">
        <f t="shared" si="6"/>
        <v>43.09390078560682</v>
      </c>
    </row>
    <row r="76" spans="3:12" x14ac:dyDescent="0.3">
      <c r="C76">
        <v>79.646747710357886</v>
      </c>
      <c r="D76">
        <v>69.94569748196227</v>
      </c>
      <c r="E76">
        <v>91.287085069634486</v>
      </c>
      <c r="F76">
        <v>132.28454155148938</v>
      </c>
      <c r="H76" s="33">
        <f t="shared" si="2"/>
        <v>0.70650457928422838</v>
      </c>
      <c r="I76">
        <f t="shared" si="3"/>
        <v>0.10860503607545979</v>
      </c>
      <c r="J76">
        <f t="shared" si="4"/>
        <v>25.74170139268972</v>
      </c>
      <c r="K76">
        <f t="shared" si="5"/>
        <v>45.69083102978766</v>
      </c>
      <c r="L76" s="33">
        <f t="shared" si="6"/>
        <v>72.247642037837068</v>
      </c>
    </row>
    <row r="77" spans="3:12" x14ac:dyDescent="0.3">
      <c r="C77">
        <v>80.943293798627565</v>
      </c>
      <c r="D77">
        <v>69.018662037997274</v>
      </c>
      <c r="E77">
        <v>91.060564045474166</v>
      </c>
      <c r="F77">
        <v>130.07768562682031</v>
      </c>
      <c r="H77" s="33">
        <f t="shared" si="2"/>
        <v>18.865875972551294</v>
      </c>
      <c r="I77">
        <f t="shared" si="3"/>
        <v>1.9626759240054525</v>
      </c>
      <c r="J77">
        <f t="shared" si="4"/>
        <v>21.211280909483321</v>
      </c>
      <c r="K77">
        <f t="shared" si="5"/>
        <v>1.5537125364062376</v>
      </c>
      <c r="L77" s="33">
        <f t="shared" si="6"/>
        <v>43.593545342446305</v>
      </c>
    </row>
    <row r="78" spans="3:12" x14ac:dyDescent="0.3">
      <c r="C78">
        <v>80.386758074455429</v>
      </c>
      <c r="D78">
        <v>70.649417870590696</v>
      </c>
      <c r="E78">
        <v>88.899668298690813</v>
      </c>
      <c r="F78">
        <v>129.54349959807587</v>
      </c>
      <c r="H78" s="33">
        <f t="shared" si="2"/>
        <v>7.7351614891085774</v>
      </c>
      <c r="I78">
        <f t="shared" si="3"/>
        <v>12.988357411813922</v>
      </c>
      <c r="J78">
        <f t="shared" si="4"/>
        <v>2.2006634026183747</v>
      </c>
      <c r="K78">
        <f t="shared" si="5"/>
        <v>0.91300080384826288</v>
      </c>
      <c r="L78" s="33">
        <f t="shared" si="6"/>
        <v>23.837183107389137</v>
      </c>
    </row>
    <row r="79" spans="3:12" x14ac:dyDescent="0.3">
      <c r="C79">
        <v>80.983197878667852</v>
      </c>
      <c r="D79">
        <v>69.477082610610523</v>
      </c>
      <c r="E79">
        <v>88.982998477004003</v>
      </c>
      <c r="F79">
        <v>129.61472440190846</v>
      </c>
      <c r="H79" s="33">
        <f t="shared" si="2"/>
        <v>19.663957573357038</v>
      </c>
      <c r="I79">
        <f t="shared" si="3"/>
        <v>1.0458347787789535</v>
      </c>
      <c r="J79">
        <f t="shared" si="4"/>
        <v>2.0340030459919944</v>
      </c>
      <c r="K79">
        <f t="shared" si="5"/>
        <v>0.77055119618307799</v>
      </c>
      <c r="L79" s="33">
        <f t="shared" si="6"/>
        <v>23.514346594311064</v>
      </c>
    </row>
    <row r="80" spans="3:12" x14ac:dyDescent="0.3">
      <c r="C80">
        <v>81.105390765587799</v>
      </c>
      <c r="D80">
        <v>70.401640818381566</v>
      </c>
      <c r="E80">
        <v>88.957125626475317</v>
      </c>
      <c r="F80">
        <v>130.165182427736</v>
      </c>
      <c r="H80" s="33">
        <f t="shared" si="2"/>
        <v>22.107815311755985</v>
      </c>
      <c r="I80">
        <f t="shared" si="3"/>
        <v>8.0328163676313125</v>
      </c>
      <c r="J80">
        <f t="shared" si="4"/>
        <v>2.0857487470493652</v>
      </c>
      <c r="K80">
        <f t="shared" si="5"/>
        <v>3.3036485547199845</v>
      </c>
      <c r="L80" s="33">
        <f t="shared" si="6"/>
        <v>35.530028981156647</v>
      </c>
    </row>
    <row r="81" spans="3:12" x14ac:dyDescent="0.3">
      <c r="C81">
        <v>80.999957592284773</v>
      </c>
      <c r="D81">
        <v>69.323708834708668</v>
      </c>
      <c r="E81">
        <v>90.328524265569285</v>
      </c>
      <c r="F81">
        <v>127.6842082105577</v>
      </c>
      <c r="H81" s="33">
        <f t="shared" si="2"/>
        <v>19.999151845695451</v>
      </c>
      <c r="I81">
        <f t="shared" si="3"/>
        <v>1.3525823305826634</v>
      </c>
      <c r="J81">
        <f t="shared" si="4"/>
        <v>6.5704853113857098</v>
      </c>
      <c r="K81">
        <f t="shared" si="5"/>
        <v>4.6315835788846016</v>
      </c>
      <c r="L81" s="33">
        <f t="shared" si="6"/>
        <v>32.553803066548426</v>
      </c>
    </row>
    <row r="82" spans="3:12" x14ac:dyDescent="0.3">
      <c r="C82">
        <v>80.689717580826255</v>
      </c>
      <c r="D82">
        <v>70.610423285252182</v>
      </c>
      <c r="E82">
        <v>89.893889253144152</v>
      </c>
      <c r="F82">
        <v>132.18358763959259</v>
      </c>
      <c r="H82" s="33">
        <f t="shared" si="2"/>
        <v>13.794351616525091</v>
      </c>
      <c r="I82">
        <f t="shared" si="3"/>
        <v>12.208465705043636</v>
      </c>
      <c r="J82">
        <f t="shared" si="4"/>
        <v>0.21222149371169508</v>
      </c>
      <c r="K82">
        <f t="shared" si="5"/>
        <v>43.671752791851759</v>
      </c>
      <c r="L82" s="33">
        <f t="shared" si="6"/>
        <v>69.886791607132182</v>
      </c>
    </row>
    <row r="83" spans="3:12" x14ac:dyDescent="0.3">
      <c r="C83">
        <v>81.423236426489893</v>
      </c>
      <c r="D83">
        <v>69.448270955326734</v>
      </c>
      <c r="E83">
        <v>90.508673565491335</v>
      </c>
      <c r="F83">
        <v>131.18280922833947</v>
      </c>
      <c r="H83" s="33">
        <f t="shared" si="2"/>
        <v>28.464728529797867</v>
      </c>
      <c r="I83">
        <f t="shared" si="3"/>
        <v>1.1034580893465318</v>
      </c>
      <c r="J83">
        <f t="shared" si="4"/>
        <v>10.173471309826709</v>
      </c>
      <c r="K83">
        <f t="shared" si="5"/>
        <v>23.656184566789307</v>
      </c>
      <c r="L83" s="33">
        <f t="shared" si="6"/>
        <v>63.397842495760415</v>
      </c>
    </row>
    <row r="84" spans="3:12" x14ac:dyDescent="0.3">
      <c r="C84">
        <v>81.285509370063664</v>
      </c>
      <c r="D84">
        <v>70.713100689608837</v>
      </c>
      <c r="E84">
        <v>90.567026745557087</v>
      </c>
      <c r="F84">
        <v>132.05459400604013</v>
      </c>
      <c r="H84" s="33">
        <f t="shared" si="2"/>
        <v>25.710187401273288</v>
      </c>
      <c r="I84">
        <f t="shared" si="3"/>
        <v>14.262013792176731</v>
      </c>
      <c r="J84">
        <f t="shared" si="4"/>
        <v>11.340534911141731</v>
      </c>
      <c r="K84">
        <f t="shared" si="5"/>
        <v>41.091880120802671</v>
      </c>
      <c r="L84" s="33">
        <f t="shared" si="6"/>
        <v>92.40461622539442</v>
      </c>
    </row>
    <row r="85" spans="3:12" x14ac:dyDescent="0.3">
      <c r="C85">
        <v>79.752587882539956</v>
      </c>
      <c r="D85">
        <v>71.326243364019319</v>
      </c>
      <c r="E85">
        <v>89.348881374316989</v>
      </c>
      <c r="F85">
        <v>128.52564087632345</v>
      </c>
      <c r="H85" s="33">
        <f t="shared" si="2"/>
        <v>0.4948242349200882</v>
      </c>
      <c r="I85">
        <f t="shared" si="3"/>
        <v>26.524867280386388</v>
      </c>
      <c r="J85">
        <f t="shared" si="4"/>
        <v>1.302237251366023</v>
      </c>
      <c r="K85">
        <f t="shared" si="5"/>
        <v>2.9487182473530993</v>
      </c>
      <c r="L85" s="33">
        <f t="shared" si="6"/>
        <v>31.270647014025599</v>
      </c>
    </row>
    <row r="86" spans="3:12" x14ac:dyDescent="0.3">
      <c r="C86">
        <v>79.872861735639162</v>
      </c>
      <c r="D86">
        <v>69.193994426605059</v>
      </c>
      <c r="E86">
        <v>91.521325430076104</v>
      </c>
      <c r="F86">
        <v>131.31653678181465</v>
      </c>
      <c r="H86" s="33">
        <f t="shared" si="2"/>
        <v>0.25427652872167528</v>
      </c>
      <c r="I86">
        <f t="shared" si="3"/>
        <v>1.6120111467898823</v>
      </c>
      <c r="J86">
        <f t="shared" si="4"/>
        <v>30.426508601522073</v>
      </c>
      <c r="K86">
        <f t="shared" si="5"/>
        <v>26.330735636292957</v>
      </c>
      <c r="L86" s="33">
        <f t="shared" si="6"/>
        <v>58.623531913326588</v>
      </c>
    </row>
    <row r="87" spans="3:12" x14ac:dyDescent="0.3">
      <c r="C87">
        <v>80.190051423487603</v>
      </c>
      <c r="D87">
        <v>69.551635028183227</v>
      </c>
      <c r="E87">
        <v>88.871917341602966</v>
      </c>
      <c r="F87">
        <v>130.80738118413137</v>
      </c>
      <c r="H87" s="33">
        <f t="shared" ref="H87:H150" si="7">IF(C87&gt;$C$19,(C87-$C$19)*$I$11,($C$19-C87)*$H$11)</f>
        <v>3.8010284697520547</v>
      </c>
      <c r="I87">
        <f t="shared" ref="I87:I150" si="8">IF(D87&gt;$D$19,(D87-$D$19)*$I$11,($D$19-D87)*$H$11)</f>
        <v>0.89672994363354519</v>
      </c>
      <c r="J87">
        <f t="shared" ref="J87:J150" si="9">IF(E87&gt;$E$19,(E87-$E$19)*$I$11,($E$19-E87)*$H$11)</f>
        <v>2.2561653167940676</v>
      </c>
      <c r="K87">
        <f t="shared" ref="K87:K150" si="10">IF(F87&gt;$F$19,(F87-$F$19)*$I$11,($F$19-F87)*$H$11)</f>
        <v>16.147623682627454</v>
      </c>
      <c r="L87" s="33">
        <f t="shared" ref="L87:L150" si="11">SUM(H87:K87)</f>
        <v>23.101547412807122</v>
      </c>
    </row>
    <row r="88" spans="3:12" x14ac:dyDescent="0.3">
      <c r="C88">
        <v>78.851890268269926</v>
      </c>
      <c r="D88">
        <v>70.462962361780228</v>
      </c>
      <c r="E88">
        <v>91.351741047983523</v>
      </c>
      <c r="F88">
        <v>129.56294118419464</v>
      </c>
      <c r="H88" s="33">
        <f t="shared" si="7"/>
        <v>2.2962194634601474</v>
      </c>
      <c r="I88">
        <f t="shared" si="8"/>
        <v>9.2592472356045619</v>
      </c>
      <c r="J88">
        <f t="shared" si="9"/>
        <v>27.034820959670469</v>
      </c>
      <c r="K88">
        <f t="shared" si="10"/>
        <v>0.87411763161071576</v>
      </c>
      <c r="L88" s="33">
        <f t="shared" si="11"/>
        <v>39.464405290345894</v>
      </c>
    </row>
    <row r="89" spans="3:12" x14ac:dyDescent="0.3">
      <c r="C89">
        <v>77.018458088859916</v>
      </c>
      <c r="D89">
        <v>70.508064204041148</v>
      </c>
      <c r="E89">
        <v>90.932250259211287</v>
      </c>
      <c r="F89">
        <v>130.0546083356312</v>
      </c>
      <c r="H89" s="33">
        <f t="shared" si="7"/>
        <v>5.9630838222801685</v>
      </c>
      <c r="I89">
        <f t="shared" si="8"/>
        <v>10.161284080822952</v>
      </c>
      <c r="J89">
        <f t="shared" si="9"/>
        <v>18.645005184225738</v>
      </c>
      <c r="K89">
        <f t="shared" si="10"/>
        <v>1.0921667126240209</v>
      </c>
      <c r="L89" s="33">
        <f t="shared" si="11"/>
        <v>35.86153979995288</v>
      </c>
    </row>
    <row r="90" spans="3:12" x14ac:dyDescent="0.3">
      <c r="C90">
        <v>79.653497297913418</v>
      </c>
      <c r="D90">
        <v>69.773124272905989</v>
      </c>
      <c r="E90">
        <v>90.713594090484548</v>
      </c>
      <c r="F90">
        <v>130.94735923994449</v>
      </c>
      <c r="H90" s="33">
        <f t="shared" si="7"/>
        <v>0.6930054041731637</v>
      </c>
      <c r="I90">
        <f t="shared" si="8"/>
        <v>0.45375145418802276</v>
      </c>
      <c r="J90">
        <f t="shared" si="9"/>
        <v>14.271881809690967</v>
      </c>
      <c r="K90">
        <f t="shared" si="10"/>
        <v>18.947184798889793</v>
      </c>
      <c r="L90" s="33">
        <f t="shared" si="11"/>
        <v>34.365823466941947</v>
      </c>
    </row>
    <row r="91" spans="3:12" x14ac:dyDescent="0.3">
      <c r="C91">
        <v>78.677617440989707</v>
      </c>
      <c r="D91">
        <v>70.120739969133865</v>
      </c>
      <c r="E91">
        <v>88.474277163040824</v>
      </c>
      <c r="F91">
        <v>130.9121208677243</v>
      </c>
      <c r="H91" s="33">
        <f t="shared" si="7"/>
        <v>2.6447651180205867</v>
      </c>
      <c r="I91">
        <f t="shared" si="8"/>
        <v>2.4147993826773018</v>
      </c>
      <c r="J91">
        <f t="shared" si="9"/>
        <v>3.0514456739183515</v>
      </c>
      <c r="K91">
        <f t="shared" si="10"/>
        <v>18.242417354485951</v>
      </c>
      <c r="L91" s="33">
        <f t="shared" si="11"/>
        <v>26.353427529102191</v>
      </c>
    </row>
    <row r="92" spans="3:12" x14ac:dyDescent="0.3">
      <c r="C92">
        <v>80.209014388019568</v>
      </c>
      <c r="D92">
        <v>68.300881998147815</v>
      </c>
      <c r="E92">
        <v>91.220282683789264</v>
      </c>
      <c r="F92">
        <v>131.98411726159975</v>
      </c>
      <c r="H92" s="33">
        <f t="shared" si="7"/>
        <v>4.1802877603913657</v>
      </c>
      <c r="I92">
        <f t="shared" si="8"/>
        <v>3.3982360037043691</v>
      </c>
      <c r="J92">
        <f t="shared" si="9"/>
        <v>24.405653675785288</v>
      </c>
      <c r="K92">
        <f t="shared" si="10"/>
        <v>39.682345231994987</v>
      </c>
      <c r="L92" s="33">
        <f t="shared" si="11"/>
        <v>71.66652267187601</v>
      </c>
    </row>
    <row r="93" spans="3:12" x14ac:dyDescent="0.3">
      <c r="C93">
        <v>79.165725057537202</v>
      </c>
      <c r="D93">
        <v>68.019156919326633</v>
      </c>
      <c r="E93">
        <v>90.010977601050399</v>
      </c>
      <c r="F93">
        <v>128.15686805959558</v>
      </c>
      <c r="H93" s="33">
        <f t="shared" si="7"/>
        <v>1.6685498849255964</v>
      </c>
      <c r="I93">
        <f t="shared" si="8"/>
        <v>3.9616861613467336</v>
      </c>
      <c r="J93">
        <f t="shared" si="9"/>
        <v>0.21955202100798488</v>
      </c>
      <c r="K93">
        <f t="shared" si="10"/>
        <v>3.6862638808088377</v>
      </c>
      <c r="L93" s="33">
        <f t="shared" si="11"/>
        <v>9.5360519480891526</v>
      </c>
    </row>
    <row r="94" spans="3:12" x14ac:dyDescent="0.3">
      <c r="C94">
        <v>79.275808022503043</v>
      </c>
      <c r="D94">
        <v>70.209639665627037</v>
      </c>
      <c r="E94">
        <v>88.327803041320294</v>
      </c>
      <c r="F94">
        <v>128.07962922204752</v>
      </c>
      <c r="H94" s="33">
        <f t="shared" si="7"/>
        <v>1.4483839549939148</v>
      </c>
      <c r="I94">
        <f t="shared" si="8"/>
        <v>4.1927933125407435</v>
      </c>
      <c r="J94">
        <f t="shared" si="9"/>
        <v>3.3443939173594117</v>
      </c>
      <c r="K94">
        <f t="shared" si="10"/>
        <v>3.8407415559049696</v>
      </c>
      <c r="L94" s="33">
        <f t="shared" si="11"/>
        <v>12.82631274079904</v>
      </c>
    </row>
    <row r="95" spans="3:12" x14ac:dyDescent="0.3">
      <c r="C95">
        <v>79.998126440914348</v>
      </c>
      <c r="D95">
        <v>69.171993749769172</v>
      </c>
      <c r="E95">
        <v>90.703270188751048</v>
      </c>
      <c r="F95">
        <v>130.87606849774602</v>
      </c>
      <c r="H95" s="33">
        <f t="shared" si="7"/>
        <v>3.7471181713044643E-3</v>
      </c>
      <c r="I95">
        <f t="shared" si="8"/>
        <v>1.6560125004616566</v>
      </c>
      <c r="J95">
        <f t="shared" si="9"/>
        <v>14.065403775020968</v>
      </c>
      <c r="K95">
        <f t="shared" si="10"/>
        <v>17.521369954920374</v>
      </c>
      <c r="L95" s="33">
        <f t="shared" si="11"/>
        <v>33.246533348574303</v>
      </c>
    </row>
    <row r="96" spans="3:12" x14ac:dyDescent="0.3">
      <c r="C96">
        <v>77.961549524916336</v>
      </c>
      <c r="D96">
        <v>70.202996943698963</v>
      </c>
      <c r="E96">
        <v>90.187870909940102</v>
      </c>
      <c r="F96">
        <v>131.23967765830457</v>
      </c>
      <c r="H96" s="33">
        <f t="shared" si="7"/>
        <v>4.0769009501673281</v>
      </c>
      <c r="I96">
        <f t="shared" si="8"/>
        <v>4.059938873979263</v>
      </c>
      <c r="J96">
        <f t="shared" si="9"/>
        <v>3.7574181988020428</v>
      </c>
      <c r="K96">
        <f t="shared" si="10"/>
        <v>24.793553166091442</v>
      </c>
      <c r="L96" s="33">
        <f t="shared" si="11"/>
        <v>36.687811189040076</v>
      </c>
    </row>
    <row r="97" spans="3:12" x14ac:dyDescent="0.3">
      <c r="C97">
        <v>80.852617176860804</v>
      </c>
      <c r="D97">
        <v>70.95711129688425</v>
      </c>
      <c r="E97">
        <v>91.077087290468626</v>
      </c>
      <c r="F97">
        <v>130.44523858377943</v>
      </c>
      <c r="H97" s="33">
        <f t="shared" si="7"/>
        <v>17.052343537216075</v>
      </c>
      <c r="I97">
        <f t="shared" si="8"/>
        <v>19.142225937684998</v>
      </c>
      <c r="J97">
        <f t="shared" si="9"/>
        <v>21.541745809372514</v>
      </c>
      <c r="K97">
        <f t="shared" si="10"/>
        <v>8.9047716755885631</v>
      </c>
      <c r="L97" s="33">
        <f t="shared" si="11"/>
        <v>66.64108695986215</v>
      </c>
    </row>
    <row r="98" spans="3:12" x14ac:dyDescent="0.3">
      <c r="C98">
        <v>78.150560713838786</v>
      </c>
      <c r="D98">
        <v>68.95501332503045</v>
      </c>
      <c r="E98">
        <v>90.153560222315718</v>
      </c>
      <c r="F98">
        <v>130.84384737419896</v>
      </c>
      <c r="H98" s="33">
        <f t="shared" si="7"/>
        <v>3.6988785723224282</v>
      </c>
      <c r="I98">
        <f t="shared" si="8"/>
        <v>2.0899733499391004</v>
      </c>
      <c r="J98">
        <f t="shared" si="9"/>
        <v>3.0712044463143684</v>
      </c>
      <c r="K98">
        <f t="shared" si="10"/>
        <v>16.876947483979166</v>
      </c>
      <c r="L98" s="33">
        <f t="shared" si="11"/>
        <v>25.737003852555063</v>
      </c>
    </row>
    <row r="99" spans="3:12" x14ac:dyDescent="0.3">
      <c r="C99">
        <v>79.37699385554879</v>
      </c>
      <c r="D99">
        <v>71.107932803279255</v>
      </c>
      <c r="E99">
        <v>88.240509739844128</v>
      </c>
      <c r="F99">
        <v>131.06446577774477</v>
      </c>
      <c r="H99" s="33">
        <f t="shared" si="7"/>
        <v>1.2460122889024206</v>
      </c>
      <c r="I99">
        <f t="shared" si="8"/>
        <v>22.158656065585092</v>
      </c>
      <c r="J99">
        <f t="shared" si="9"/>
        <v>3.518980520311743</v>
      </c>
      <c r="K99">
        <f t="shared" si="10"/>
        <v>21.289315554895438</v>
      </c>
      <c r="L99" s="33">
        <f t="shared" si="11"/>
        <v>48.212964429694694</v>
      </c>
    </row>
    <row r="100" spans="3:12" x14ac:dyDescent="0.3">
      <c r="C100">
        <v>79.609610767947743</v>
      </c>
      <c r="D100">
        <v>70.199016767510329</v>
      </c>
      <c r="E100">
        <v>90.252225618169177</v>
      </c>
      <c r="F100">
        <v>129.56949636725767</v>
      </c>
      <c r="H100" s="33">
        <f t="shared" si="7"/>
        <v>0.78077846410451457</v>
      </c>
      <c r="I100">
        <f t="shared" si="8"/>
        <v>3.9803353502065875</v>
      </c>
      <c r="J100">
        <f t="shared" si="9"/>
        <v>5.0445123633835465</v>
      </c>
      <c r="K100">
        <f t="shared" si="10"/>
        <v>0.861007265484659</v>
      </c>
      <c r="L100" s="33">
        <f t="shared" si="11"/>
        <v>10.666633443179308</v>
      </c>
    </row>
    <row r="101" spans="3:12" x14ac:dyDescent="0.3">
      <c r="C101">
        <v>80.249383447226137</v>
      </c>
      <c r="D101">
        <v>70.554582584300078</v>
      </c>
      <c r="E101">
        <v>89.146832578844624</v>
      </c>
      <c r="F101">
        <v>130.14744728105143</v>
      </c>
      <c r="H101" s="33">
        <f t="shared" si="7"/>
        <v>4.9876689445227385</v>
      </c>
      <c r="I101">
        <f t="shared" si="8"/>
        <v>11.091651686001569</v>
      </c>
      <c r="J101">
        <f t="shared" si="9"/>
        <v>1.7063348423107527</v>
      </c>
      <c r="K101">
        <f t="shared" si="10"/>
        <v>2.9489456210285425</v>
      </c>
      <c r="L101" s="33">
        <f t="shared" si="11"/>
        <v>20.734601093863603</v>
      </c>
    </row>
    <row r="102" spans="3:12" x14ac:dyDescent="0.3">
      <c r="C102">
        <v>79.520024402954732</v>
      </c>
      <c r="D102">
        <v>69.730757735960651</v>
      </c>
      <c r="E102">
        <v>89.420350604850682</v>
      </c>
      <c r="F102">
        <v>130.37622839954565</v>
      </c>
      <c r="H102" s="33">
        <f t="shared" si="7"/>
        <v>0.95995119409053586</v>
      </c>
      <c r="I102">
        <f t="shared" si="8"/>
        <v>0.53848452807869762</v>
      </c>
      <c r="J102">
        <f t="shared" si="9"/>
        <v>1.1592987902986351</v>
      </c>
      <c r="K102">
        <f t="shared" si="10"/>
        <v>7.5245679909130558</v>
      </c>
      <c r="L102" s="33">
        <f t="shared" si="11"/>
        <v>10.182302503380924</v>
      </c>
    </row>
    <row r="103" spans="3:12" x14ac:dyDescent="0.3">
      <c r="C103">
        <v>79.750773440609919</v>
      </c>
      <c r="D103">
        <v>71.596054062247276</v>
      </c>
      <c r="E103">
        <v>90.734773948352085</v>
      </c>
      <c r="F103">
        <v>129.73638523442787</v>
      </c>
      <c r="H103" s="33">
        <f t="shared" si="7"/>
        <v>0.49845311878016219</v>
      </c>
      <c r="I103">
        <f t="shared" si="8"/>
        <v>31.921081244945526</v>
      </c>
      <c r="J103">
        <f t="shared" si="9"/>
        <v>14.695478967041709</v>
      </c>
      <c r="K103">
        <f t="shared" si="10"/>
        <v>0.52722953114425763</v>
      </c>
      <c r="L103" s="33">
        <f t="shared" si="11"/>
        <v>47.642242861911654</v>
      </c>
    </row>
    <row r="104" spans="3:12" x14ac:dyDescent="0.3">
      <c r="C104">
        <v>77.436971170827746</v>
      </c>
      <c r="D104">
        <v>69.954965232973336</v>
      </c>
      <c r="E104">
        <v>89.945314357319148</v>
      </c>
      <c r="F104">
        <v>130.50963194553333</v>
      </c>
      <c r="H104" s="33">
        <f t="shared" si="7"/>
        <v>5.1260576583445072</v>
      </c>
      <c r="I104">
        <f t="shared" si="8"/>
        <v>9.0069534053327516E-2</v>
      </c>
      <c r="J104">
        <f t="shared" si="9"/>
        <v>0.10937128536170349</v>
      </c>
      <c r="K104">
        <f t="shared" si="10"/>
        <v>10.192638910666574</v>
      </c>
      <c r="L104" s="33">
        <f t="shared" si="11"/>
        <v>15.518137388426112</v>
      </c>
    </row>
    <row r="105" spans="3:12" x14ac:dyDescent="0.3">
      <c r="C105">
        <v>79.717248329034192</v>
      </c>
      <c r="D105">
        <v>70.913744315766962</v>
      </c>
      <c r="E105">
        <v>88.965261056582676</v>
      </c>
      <c r="F105">
        <v>131.25449560073321</v>
      </c>
      <c r="H105" s="33">
        <f t="shared" si="7"/>
        <v>0.56550334193161689</v>
      </c>
      <c r="I105">
        <f t="shared" si="8"/>
        <v>18.274886315339245</v>
      </c>
      <c r="J105">
        <f t="shared" si="9"/>
        <v>2.0694778868346475</v>
      </c>
      <c r="K105">
        <f t="shared" si="10"/>
        <v>25.089912014664151</v>
      </c>
      <c r="L105" s="33">
        <f t="shared" si="11"/>
        <v>45.99977955876966</v>
      </c>
    </row>
    <row r="106" spans="3:12" x14ac:dyDescent="0.3">
      <c r="C106">
        <v>80.910613380256109</v>
      </c>
      <c r="D106">
        <v>71.290595719183329</v>
      </c>
      <c r="E106">
        <v>89.412732449854957</v>
      </c>
      <c r="F106">
        <v>129.44835963106016</v>
      </c>
      <c r="H106" s="33">
        <f t="shared" si="7"/>
        <v>18.212267605122179</v>
      </c>
      <c r="I106">
        <f t="shared" si="8"/>
        <v>25.81191438366659</v>
      </c>
      <c r="J106">
        <f t="shared" si="9"/>
        <v>1.1745351002900861</v>
      </c>
      <c r="K106">
        <f t="shared" si="10"/>
        <v>1.1032807378796861</v>
      </c>
      <c r="L106" s="33">
        <f t="shared" si="11"/>
        <v>46.301997826958541</v>
      </c>
    </row>
    <row r="107" spans="3:12" x14ac:dyDescent="0.3">
      <c r="C107">
        <v>80.828546262710006</v>
      </c>
      <c r="D107">
        <v>68.283788045227993</v>
      </c>
      <c r="E107">
        <v>89.534736616624286</v>
      </c>
      <c r="F107">
        <v>130.69049519879627</v>
      </c>
      <c r="H107" s="33">
        <f t="shared" si="7"/>
        <v>16.57092525420012</v>
      </c>
      <c r="I107">
        <f t="shared" si="8"/>
        <v>3.4324239095440134</v>
      </c>
      <c r="J107">
        <f t="shared" si="9"/>
        <v>0.9305267667514272</v>
      </c>
      <c r="K107">
        <f t="shared" si="10"/>
        <v>13.809903975925408</v>
      </c>
      <c r="L107" s="33">
        <f t="shared" si="11"/>
        <v>34.743779906420968</v>
      </c>
    </row>
    <row r="108" spans="3:12" x14ac:dyDescent="0.3">
      <c r="C108">
        <v>80.081829512055265</v>
      </c>
      <c r="D108">
        <v>71.57112481247168</v>
      </c>
      <c r="E108">
        <v>90.958925738814287</v>
      </c>
      <c r="F108">
        <v>132.2897802409716</v>
      </c>
      <c r="H108" s="33">
        <f t="shared" si="7"/>
        <v>1.6365902411052957</v>
      </c>
      <c r="I108">
        <f t="shared" si="8"/>
        <v>31.422496249433607</v>
      </c>
      <c r="J108">
        <f t="shared" si="9"/>
        <v>19.178514776285738</v>
      </c>
      <c r="K108">
        <f t="shared" si="10"/>
        <v>45.795604819431901</v>
      </c>
      <c r="L108" s="33">
        <f t="shared" si="11"/>
        <v>98.033206086256541</v>
      </c>
    </row>
    <row r="109" spans="3:12" x14ac:dyDescent="0.3">
      <c r="C109">
        <v>79.746984258308657</v>
      </c>
      <c r="D109">
        <v>69.526366991631221</v>
      </c>
      <c r="E109">
        <v>88.900227637932403</v>
      </c>
      <c r="F109">
        <v>129.03280240687309</v>
      </c>
      <c r="H109" s="33">
        <f t="shared" si="7"/>
        <v>0.50603148338268511</v>
      </c>
      <c r="I109">
        <f t="shared" si="8"/>
        <v>0.94726601673755795</v>
      </c>
      <c r="J109">
        <f t="shared" si="9"/>
        <v>2.199544724135194</v>
      </c>
      <c r="K109">
        <f t="shared" si="10"/>
        <v>1.9343951862538233</v>
      </c>
      <c r="L109" s="33">
        <f t="shared" si="11"/>
        <v>5.5872374105092604</v>
      </c>
    </row>
    <row r="110" spans="3:12" x14ac:dyDescent="0.3">
      <c r="C110">
        <v>80.907607500266749</v>
      </c>
      <c r="D110">
        <v>69.601093350065639</v>
      </c>
      <c r="E110">
        <v>91.923763193190098</v>
      </c>
      <c r="F110">
        <v>129.19801211945014</v>
      </c>
      <c r="H110" s="33">
        <f t="shared" si="7"/>
        <v>18.152150005334988</v>
      </c>
      <c r="I110">
        <f t="shared" si="8"/>
        <v>0.79781329986872151</v>
      </c>
      <c r="J110">
        <f t="shared" si="9"/>
        <v>38.475263863801956</v>
      </c>
      <c r="K110">
        <f t="shared" si="10"/>
        <v>1.6039757610997185</v>
      </c>
      <c r="L110" s="33">
        <f t="shared" si="11"/>
        <v>59.029202930105384</v>
      </c>
    </row>
    <row r="111" spans="3:12" x14ac:dyDescent="0.3">
      <c r="C111">
        <v>79.341011971409898</v>
      </c>
      <c r="D111">
        <v>69.088227013999131</v>
      </c>
      <c r="E111">
        <v>91.535845512989908</v>
      </c>
      <c r="F111">
        <v>129.14087311481126</v>
      </c>
      <c r="H111" s="33">
        <f t="shared" si="7"/>
        <v>1.3179760571802035</v>
      </c>
      <c r="I111">
        <f t="shared" si="8"/>
        <v>1.8235459720017388</v>
      </c>
      <c r="J111">
        <f t="shared" si="9"/>
        <v>30.716910259798169</v>
      </c>
      <c r="K111">
        <f t="shared" si="10"/>
        <v>1.7182537703774869</v>
      </c>
      <c r="L111" s="33">
        <f t="shared" si="11"/>
        <v>35.576686059357598</v>
      </c>
    </row>
    <row r="112" spans="3:12" x14ac:dyDescent="0.3">
      <c r="C112">
        <v>78.815494564041728</v>
      </c>
      <c r="D112">
        <v>69.399958596768556</v>
      </c>
      <c r="E112">
        <v>91.481198523833882</v>
      </c>
      <c r="F112">
        <v>130.98480995802674</v>
      </c>
      <c r="H112" s="33">
        <f t="shared" si="7"/>
        <v>2.3690108719165437</v>
      </c>
      <c r="I112">
        <f t="shared" si="8"/>
        <v>1.2000828064628877</v>
      </c>
      <c r="J112">
        <f t="shared" si="9"/>
        <v>29.623970476677641</v>
      </c>
      <c r="K112">
        <f t="shared" si="10"/>
        <v>19.696199160534889</v>
      </c>
      <c r="L112" s="33">
        <f t="shared" si="11"/>
        <v>52.889263315591961</v>
      </c>
    </row>
    <row r="113" spans="3:12" x14ac:dyDescent="0.3">
      <c r="C113">
        <v>80.73597675509518</v>
      </c>
      <c r="D113">
        <v>70.336366383635323</v>
      </c>
      <c r="E113">
        <v>90.99718590718112</v>
      </c>
      <c r="F113">
        <v>130.79851133705233</v>
      </c>
      <c r="H113" s="33">
        <f t="shared" si="7"/>
        <v>14.719535101903602</v>
      </c>
      <c r="I113">
        <f t="shared" si="8"/>
        <v>6.7273276727064513</v>
      </c>
      <c r="J113">
        <f t="shared" si="9"/>
        <v>19.943718143622391</v>
      </c>
      <c r="K113">
        <f t="shared" si="10"/>
        <v>15.970226741046645</v>
      </c>
      <c r="L113" s="33">
        <f t="shared" si="11"/>
        <v>57.360807659279089</v>
      </c>
    </row>
    <row r="114" spans="3:12" x14ac:dyDescent="0.3">
      <c r="C114">
        <v>79.489845095013152</v>
      </c>
      <c r="D114">
        <v>70.932486727833748</v>
      </c>
      <c r="E114">
        <v>89.438176701005432</v>
      </c>
      <c r="F114">
        <v>130.93864855443826</v>
      </c>
      <c r="H114" s="33">
        <f t="shared" si="7"/>
        <v>1.0203098099736962</v>
      </c>
      <c r="I114">
        <f t="shared" si="8"/>
        <v>18.649734556674957</v>
      </c>
      <c r="J114">
        <f t="shared" si="9"/>
        <v>1.1236465979891364</v>
      </c>
      <c r="K114">
        <f t="shared" si="10"/>
        <v>18.772971088765189</v>
      </c>
      <c r="L114" s="33">
        <f t="shared" si="11"/>
        <v>39.566662053402979</v>
      </c>
    </row>
    <row r="115" spans="3:12" x14ac:dyDescent="0.3">
      <c r="C115">
        <v>78.715711626573466</v>
      </c>
      <c r="D115">
        <v>69.796143583807861</v>
      </c>
      <c r="E115">
        <v>89.71804527376662</v>
      </c>
      <c r="F115">
        <v>132.10443431569729</v>
      </c>
      <c r="H115" s="33">
        <f t="shared" si="7"/>
        <v>2.5685767468530685</v>
      </c>
      <c r="I115">
        <f t="shared" si="8"/>
        <v>0.40771283238427714</v>
      </c>
      <c r="J115">
        <f t="shared" si="9"/>
        <v>0.56390945246675983</v>
      </c>
      <c r="K115">
        <f t="shared" si="10"/>
        <v>42.0886863139458</v>
      </c>
      <c r="L115" s="33">
        <f t="shared" si="11"/>
        <v>45.628885345649906</v>
      </c>
    </row>
    <row r="116" spans="3:12" x14ac:dyDescent="0.3">
      <c r="C116">
        <v>79.755664248368703</v>
      </c>
      <c r="D116">
        <v>70.556456143385731</v>
      </c>
      <c r="E116">
        <v>89.611839029967086</v>
      </c>
      <c r="F116">
        <v>129.71724832903419</v>
      </c>
      <c r="H116" s="33">
        <f t="shared" si="7"/>
        <v>0.48867150326259434</v>
      </c>
      <c r="I116">
        <f t="shared" si="8"/>
        <v>11.129122867714614</v>
      </c>
      <c r="J116">
        <f t="shared" si="9"/>
        <v>0.77632194006582722</v>
      </c>
      <c r="K116">
        <f t="shared" si="10"/>
        <v>0.56550334193161689</v>
      </c>
      <c r="L116" s="33">
        <f t="shared" si="11"/>
        <v>12.959619652974652</v>
      </c>
    </row>
    <row r="117" spans="3:12" x14ac:dyDescent="0.3">
      <c r="C117">
        <v>79.315223249141127</v>
      </c>
      <c r="D117">
        <v>69.53618498693686</v>
      </c>
      <c r="E117">
        <v>89.758263129479019</v>
      </c>
      <c r="F117">
        <v>131.99519490706734</v>
      </c>
      <c r="H117" s="33">
        <f t="shared" si="7"/>
        <v>1.3695535017177463</v>
      </c>
      <c r="I117">
        <f t="shared" si="8"/>
        <v>0.92763002612628043</v>
      </c>
      <c r="J117">
        <f t="shared" si="9"/>
        <v>0.48347374104196206</v>
      </c>
      <c r="K117">
        <f t="shared" si="10"/>
        <v>39.903898141346872</v>
      </c>
      <c r="L117" s="33">
        <f t="shared" si="11"/>
        <v>42.684555410232861</v>
      </c>
    </row>
    <row r="118" spans="3:12" x14ac:dyDescent="0.3">
      <c r="C118">
        <v>79.994760173649411</v>
      </c>
      <c r="D118">
        <v>69.720114374213153</v>
      </c>
      <c r="E118">
        <v>90.63026732277649</v>
      </c>
      <c r="F118">
        <v>132.34587787417695</v>
      </c>
      <c r="H118" s="33">
        <f t="shared" si="7"/>
        <v>1.0479652701178566E-2</v>
      </c>
      <c r="I118">
        <f t="shared" si="8"/>
        <v>0.55977125157369301</v>
      </c>
      <c r="J118">
        <f t="shared" si="9"/>
        <v>12.605346455529798</v>
      </c>
      <c r="K118">
        <f t="shared" si="10"/>
        <v>46.917557483538985</v>
      </c>
      <c r="L118" s="33">
        <f t="shared" si="11"/>
        <v>60.093154843343655</v>
      </c>
    </row>
    <row r="119" spans="3:12" x14ac:dyDescent="0.3">
      <c r="C119">
        <v>80.714285306457896</v>
      </c>
      <c r="D119">
        <v>71.37538791022962</v>
      </c>
      <c r="E119">
        <v>90.977754552877741</v>
      </c>
      <c r="F119">
        <v>130.03224954525649</v>
      </c>
      <c r="H119" s="33">
        <f t="shared" si="7"/>
        <v>14.285706129157916</v>
      </c>
      <c r="I119">
        <f t="shared" si="8"/>
        <v>27.507758204592392</v>
      </c>
      <c r="J119">
        <f t="shared" si="9"/>
        <v>19.555091057554819</v>
      </c>
      <c r="K119">
        <f t="shared" si="10"/>
        <v>0.64499090512981638</v>
      </c>
      <c r="L119" s="33">
        <f t="shared" si="11"/>
        <v>61.993546296434943</v>
      </c>
    </row>
    <row r="120" spans="3:12" x14ac:dyDescent="0.3">
      <c r="C120">
        <v>79.566052792943083</v>
      </c>
      <c r="D120">
        <v>69.636713710060576</v>
      </c>
      <c r="E120">
        <v>92.386077539995313</v>
      </c>
      <c r="F120">
        <v>128.46960690774722</v>
      </c>
      <c r="H120" s="33">
        <f t="shared" si="7"/>
        <v>0.8678944141138345</v>
      </c>
      <c r="I120">
        <f t="shared" si="8"/>
        <v>0.72657257987884805</v>
      </c>
      <c r="J120">
        <f t="shared" si="9"/>
        <v>47.721550799906254</v>
      </c>
      <c r="K120">
        <f t="shared" si="10"/>
        <v>3.0607861845055595</v>
      </c>
      <c r="L120" s="33">
        <f t="shared" si="11"/>
        <v>52.376803978404496</v>
      </c>
    </row>
    <row r="121" spans="3:12" x14ac:dyDescent="0.3">
      <c r="C121">
        <v>80.773713964008493</v>
      </c>
      <c r="D121">
        <v>70.967929736361839</v>
      </c>
      <c r="E121">
        <v>89.856804606679361</v>
      </c>
      <c r="F121">
        <v>128.93148242335883</v>
      </c>
      <c r="H121" s="33">
        <f t="shared" si="7"/>
        <v>15.474279280169867</v>
      </c>
      <c r="I121">
        <f t="shared" si="8"/>
        <v>19.358594727236778</v>
      </c>
      <c r="J121">
        <f t="shared" si="9"/>
        <v>0.28639078664127737</v>
      </c>
      <c r="K121">
        <f t="shared" si="10"/>
        <v>2.1370351532823406</v>
      </c>
      <c r="L121" s="33">
        <f t="shared" si="11"/>
        <v>37.256299947330263</v>
      </c>
    </row>
    <row r="122" spans="3:12" x14ac:dyDescent="0.3">
      <c r="C122">
        <v>80.585541783948429</v>
      </c>
      <c r="D122">
        <v>71.335890829068376</v>
      </c>
      <c r="E122">
        <v>91.934586180141196</v>
      </c>
      <c r="F122">
        <v>131.86663783097174</v>
      </c>
      <c r="H122" s="33">
        <f t="shared" si="7"/>
        <v>11.710835678968579</v>
      </c>
      <c r="I122">
        <f t="shared" si="8"/>
        <v>26.717816581367515</v>
      </c>
      <c r="J122">
        <f t="shared" si="9"/>
        <v>38.691723602823913</v>
      </c>
      <c r="K122">
        <f t="shared" si="10"/>
        <v>37.332756619434804</v>
      </c>
      <c r="L122" s="33">
        <f t="shared" si="11"/>
        <v>114.45313248259481</v>
      </c>
    </row>
    <row r="123" spans="3:12" x14ac:dyDescent="0.3">
      <c r="C123">
        <v>79.391880010080058</v>
      </c>
      <c r="D123">
        <v>71.577996044943575</v>
      </c>
      <c r="E123">
        <v>89.493761606572662</v>
      </c>
      <c r="F123">
        <v>128.08252141519915</v>
      </c>
      <c r="H123" s="33">
        <f t="shared" si="7"/>
        <v>1.2162399798398837</v>
      </c>
      <c r="I123">
        <f t="shared" si="8"/>
        <v>31.559920898871496</v>
      </c>
      <c r="J123">
        <f t="shared" si="9"/>
        <v>1.0124767868546769</v>
      </c>
      <c r="K123">
        <f t="shared" si="10"/>
        <v>3.8349571696016937</v>
      </c>
      <c r="L123" s="33">
        <f t="shared" si="11"/>
        <v>37.623594835167751</v>
      </c>
    </row>
    <row r="124" spans="3:12" x14ac:dyDescent="0.3">
      <c r="C124">
        <v>79.530556351601263</v>
      </c>
      <c r="D124">
        <v>69.370479599747341</v>
      </c>
      <c r="E124">
        <v>89.465646851604106</v>
      </c>
      <c r="F124">
        <v>130.09296400094172</v>
      </c>
      <c r="H124" s="33">
        <f t="shared" si="7"/>
        <v>0.93888729679747485</v>
      </c>
      <c r="I124">
        <f t="shared" si="8"/>
        <v>1.2590408005053177</v>
      </c>
      <c r="J124">
        <f t="shared" si="9"/>
        <v>1.0687062967917882</v>
      </c>
      <c r="K124">
        <f t="shared" si="10"/>
        <v>1.8592800188343972</v>
      </c>
      <c r="L124" s="33">
        <f t="shared" si="11"/>
        <v>5.125914412928978</v>
      </c>
    </row>
    <row r="125" spans="3:12" x14ac:dyDescent="0.3">
      <c r="C125">
        <v>78.868006514385343</v>
      </c>
      <c r="D125">
        <v>71.394751052430365</v>
      </c>
      <c r="E125">
        <v>90.190985929293674</v>
      </c>
      <c r="F125">
        <v>130.14621036825702</v>
      </c>
      <c r="H125" s="33">
        <f t="shared" si="7"/>
        <v>2.2639869712293148</v>
      </c>
      <c r="I125">
        <f t="shared" si="8"/>
        <v>27.895021048607305</v>
      </c>
      <c r="J125">
        <f t="shared" si="9"/>
        <v>3.8197185858734883</v>
      </c>
      <c r="K125">
        <f t="shared" si="10"/>
        <v>2.9242073651403189</v>
      </c>
      <c r="L125" s="33">
        <f t="shared" si="11"/>
        <v>36.902933970850427</v>
      </c>
    </row>
    <row r="126" spans="3:12" x14ac:dyDescent="0.3">
      <c r="C126">
        <v>79.103081336215837</v>
      </c>
      <c r="D126">
        <v>71.553498805151321</v>
      </c>
      <c r="E126">
        <v>90.995050868368708</v>
      </c>
      <c r="F126">
        <v>130.07983430805325</v>
      </c>
      <c r="H126" s="33">
        <f t="shared" si="7"/>
        <v>1.7938373275683261</v>
      </c>
      <c r="I126">
        <f t="shared" si="8"/>
        <v>31.06997610302642</v>
      </c>
      <c r="J126">
        <f t="shared" si="9"/>
        <v>19.901017367374152</v>
      </c>
      <c r="K126">
        <f t="shared" si="10"/>
        <v>1.5966861610650085</v>
      </c>
      <c r="L126" s="33">
        <f t="shared" si="11"/>
        <v>54.361516959033906</v>
      </c>
    </row>
    <row r="127" spans="3:12" x14ac:dyDescent="0.3">
      <c r="C127">
        <v>78.170906110317446</v>
      </c>
      <c r="D127">
        <v>71.29323780129198</v>
      </c>
      <c r="E127">
        <v>90.489611693410552</v>
      </c>
      <c r="F127">
        <v>131.59687260747887</v>
      </c>
      <c r="H127" s="33">
        <f t="shared" si="7"/>
        <v>3.6581877793651074</v>
      </c>
      <c r="I127">
        <f t="shared" si="8"/>
        <v>25.864756025839597</v>
      </c>
      <c r="J127">
        <f t="shared" si="9"/>
        <v>9.7922338682110421</v>
      </c>
      <c r="K127">
        <f t="shared" si="10"/>
        <v>31.937452149577439</v>
      </c>
      <c r="L127" s="33">
        <f t="shared" si="11"/>
        <v>71.252629822993185</v>
      </c>
    </row>
    <row r="128" spans="3:12" x14ac:dyDescent="0.3">
      <c r="C128">
        <v>80.064648020270397</v>
      </c>
      <c r="D128">
        <v>70.020388597476995</v>
      </c>
      <c r="E128">
        <v>91.183580025099218</v>
      </c>
      <c r="F128">
        <v>131.12174575406243</v>
      </c>
      <c r="H128" s="33">
        <f t="shared" si="7"/>
        <v>1.2929604054079391</v>
      </c>
      <c r="I128">
        <f t="shared" si="8"/>
        <v>0.40777194953989238</v>
      </c>
      <c r="J128">
        <f t="shared" si="9"/>
        <v>23.671600501984358</v>
      </c>
      <c r="K128">
        <f t="shared" si="10"/>
        <v>22.434915081248619</v>
      </c>
      <c r="L128" s="33">
        <f t="shared" si="11"/>
        <v>47.807247938180808</v>
      </c>
    </row>
    <row r="129" spans="3:12" x14ac:dyDescent="0.3">
      <c r="C129">
        <v>79.030478647910058</v>
      </c>
      <c r="D129">
        <v>72.704728103708476</v>
      </c>
      <c r="E129">
        <v>90.280442691291682</v>
      </c>
      <c r="F129">
        <v>130.27964802029601</v>
      </c>
      <c r="H129" s="33">
        <f t="shared" si="7"/>
        <v>1.939042704179883</v>
      </c>
      <c r="I129">
        <f t="shared" si="8"/>
        <v>54.094562074169517</v>
      </c>
      <c r="J129">
        <f t="shared" si="9"/>
        <v>5.6088538258336484</v>
      </c>
      <c r="K129">
        <f t="shared" si="10"/>
        <v>5.5929604059201665</v>
      </c>
      <c r="L129" s="33">
        <f t="shared" si="11"/>
        <v>67.235419010103215</v>
      </c>
    </row>
    <row r="130" spans="3:12" x14ac:dyDescent="0.3">
      <c r="C130">
        <v>80.522742311659385</v>
      </c>
      <c r="D130">
        <v>70.696429651725339</v>
      </c>
      <c r="E130">
        <v>89.823252210262581</v>
      </c>
      <c r="F130">
        <v>129.57527961669257</v>
      </c>
      <c r="H130" s="33">
        <f t="shared" si="7"/>
        <v>10.454846233187709</v>
      </c>
      <c r="I130">
        <f t="shared" si="8"/>
        <v>13.928593034506775</v>
      </c>
      <c r="J130">
        <f t="shared" si="9"/>
        <v>0.35349557947483845</v>
      </c>
      <c r="K130">
        <f t="shared" si="10"/>
        <v>0.84944076661486179</v>
      </c>
      <c r="L130" s="33">
        <f t="shared" si="11"/>
        <v>25.586375613784185</v>
      </c>
    </row>
    <row r="131" spans="3:12" x14ac:dyDescent="0.3">
      <c r="C131">
        <v>80.930126589082647</v>
      </c>
      <c r="D131">
        <v>71.085184067051159</v>
      </c>
      <c r="E131">
        <v>90.368438577424968</v>
      </c>
      <c r="F131">
        <v>129.59811020744382</v>
      </c>
      <c r="H131" s="33">
        <f t="shared" si="7"/>
        <v>18.602531781652942</v>
      </c>
      <c r="I131">
        <f t="shared" si="8"/>
        <v>21.703681341023184</v>
      </c>
      <c r="J131">
        <f t="shared" si="9"/>
        <v>7.3687715484993532</v>
      </c>
      <c r="K131">
        <f t="shared" si="10"/>
        <v>0.80377958511235192</v>
      </c>
      <c r="L131" s="33">
        <f t="shared" si="11"/>
        <v>48.478764256287832</v>
      </c>
    </row>
    <row r="132" spans="3:12" x14ac:dyDescent="0.3">
      <c r="C132">
        <v>80.038985490391497</v>
      </c>
      <c r="D132">
        <v>70.545061311640893</v>
      </c>
      <c r="E132">
        <v>89.795361418364337</v>
      </c>
      <c r="F132">
        <v>129.05718368609087</v>
      </c>
      <c r="H132" s="33">
        <f t="shared" si="7"/>
        <v>0.77970980782993138</v>
      </c>
      <c r="I132">
        <f t="shared" si="8"/>
        <v>10.901226232817862</v>
      </c>
      <c r="J132">
        <f t="shared" si="9"/>
        <v>0.40927716327132657</v>
      </c>
      <c r="K132">
        <f t="shared" si="10"/>
        <v>1.8856326278182678</v>
      </c>
      <c r="L132" s="33">
        <f t="shared" si="11"/>
        <v>13.975845831737388</v>
      </c>
    </row>
    <row r="133" spans="3:12" x14ac:dyDescent="0.3">
      <c r="C133">
        <v>78.148864506219979</v>
      </c>
      <c r="D133">
        <v>69.32985019768239</v>
      </c>
      <c r="E133">
        <v>88.288772076193709</v>
      </c>
      <c r="F133">
        <v>129.74785396261723</v>
      </c>
      <c r="H133" s="33">
        <f t="shared" si="7"/>
        <v>3.7022709875600412</v>
      </c>
      <c r="I133">
        <f t="shared" si="8"/>
        <v>1.34029960463522</v>
      </c>
      <c r="J133">
        <f t="shared" si="9"/>
        <v>3.4224558476125821</v>
      </c>
      <c r="K133">
        <f t="shared" si="10"/>
        <v>0.50429207476554438</v>
      </c>
      <c r="L133" s="33">
        <f t="shared" si="11"/>
        <v>8.9693185145733878</v>
      </c>
    </row>
    <row r="134" spans="3:12" x14ac:dyDescent="0.3">
      <c r="C134">
        <v>81.02628291642759</v>
      </c>
      <c r="D134">
        <v>69.147053131309804</v>
      </c>
      <c r="E134">
        <v>89.217798176687211</v>
      </c>
      <c r="F134">
        <v>129.30396143099642</v>
      </c>
      <c r="H134" s="33">
        <f t="shared" si="7"/>
        <v>20.525658328551799</v>
      </c>
      <c r="I134">
        <f t="shared" si="8"/>
        <v>1.7058937373803928</v>
      </c>
      <c r="J134">
        <f t="shared" si="9"/>
        <v>1.5644036466255784</v>
      </c>
      <c r="K134">
        <f t="shared" si="10"/>
        <v>1.3920771380071528</v>
      </c>
      <c r="L134" s="33">
        <f t="shared" si="11"/>
        <v>25.188032850564923</v>
      </c>
    </row>
    <row r="135" spans="3:12" x14ac:dyDescent="0.3">
      <c r="C135">
        <v>79.708320501667913</v>
      </c>
      <c r="D135">
        <v>70.381735389964888</v>
      </c>
      <c r="E135">
        <v>89.642917600795045</v>
      </c>
      <c r="F135">
        <v>130.33264541343669</v>
      </c>
      <c r="H135" s="33">
        <f t="shared" si="7"/>
        <v>0.5833589966641739</v>
      </c>
      <c r="I135">
        <f t="shared" si="8"/>
        <v>7.6347077992977574</v>
      </c>
      <c r="J135">
        <f t="shared" si="9"/>
        <v>0.71416479840991087</v>
      </c>
      <c r="K135">
        <f t="shared" si="10"/>
        <v>6.6529082687338814</v>
      </c>
      <c r="L135" s="33">
        <f t="shared" si="11"/>
        <v>15.585139863105724</v>
      </c>
    </row>
    <row r="136" spans="3:12" x14ac:dyDescent="0.3">
      <c r="C136">
        <v>78.601392690034118</v>
      </c>
      <c r="D136">
        <v>71.079138201021124</v>
      </c>
      <c r="E136">
        <v>87.935192368458956</v>
      </c>
      <c r="F136">
        <v>130.66861957748188</v>
      </c>
      <c r="H136" s="33">
        <f t="shared" si="7"/>
        <v>2.7972146199317649</v>
      </c>
      <c r="I136">
        <f t="shared" si="8"/>
        <v>21.582764020422474</v>
      </c>
      <c r="J136">
        <f t="shared" si="9"/>
        <v>4.129615263082087</v>
      </c>
      <c r="K136">
        <f t="shared" si="10"/>
        <v>13.372391549637541</v>
      </c>
      <c r="L136" s="33">
        <f t="shared" si="11"/>
        <v>41.881985453073867</v>
      </c>
    </row>
    <row r="137" spans="3:12" x14ac:dyDescent="0.3">
      <c r="C137">
        <v>80.785947804615716</v>
      </c>
      <c r="D137">
        <v>70.623469986749114</v>
      </c>
      <c r="E137">
        <v>88.117855284363031</v>
      </c>
      <c r="F137">
        <v>132.1093637769809</v>
      </c>
      <c r="H137" s="33">
        <f t="shared" si="7"/>
        <v>15.718956092314329</v>
      </c>
      <c r="I137">
        <f t="shared" si="8"/>
        <v>12.469399734982289</v>
      </c>
      <c r="J137">
        <f t="shared" si="9"/>
        <v>3.7642894312739372</v>
      </c>
      <c r="K137">
        <f t="shared" si="10"/>
        <v>42.187275539617985</v>
      </c>
      <c r="L137" s="33">
        <f t="shared" si="11"/>
        <v>74.139920798188541</v>
      </c>
    </row>
    <row r="138" spans="3:12" x14ac:dyDescent="0.3">
      <c r="C138">
        <v>80.399568307329901</v>
      </c>
      <c r="D138">
        <v>69.928834313323023</v>
      </c>
      <c r="E138">
        <v>90.741101757739671</v>
      </c>
      <c r="F138">
        <v>130.64300820667995</v>
      </c>
      <c r="H138" s="33">
        <f t="shared" si="7"/>
        <v>7.9913661465980113</v>
      </c>
      <c r="I138">
        <f t="shared" si="8"/>
        <v>0.1423313733539544</v>
      </c>
      <c r="J138">
        <f t="shared" si="9"/>
        <v>14.822035154793411</v>
      </c>
      <c r="K138">
        <f t="shared" si="10"/>
        <v>12.860164133599028</v>
      </c>
      <c r="L138" s="33">
        <f t="shared" si="11"/>
        <v>35.815896808344405</v>
      </c>
    </row>
    <row r="139" spans="3:12" x14ac:dyDescent="0.3">
      <c r="C139">
        <v>80.11865950000356</v>
      </c>
      <c r="D139">
        <v>68.222228896338493</v>
      </c>
      <c r="E139">
        <v>90.076457808972918</v>
      </c>
      <c r="F139">
        <v>131.36541075335117</v>
      </c>
      <c r="H139" s="33">
        <f t="shared" si="7"/>
        <v>2.3731900000711903</v>
      </c>
      <c r="I139">
        <f t="shared" si="8"/>
        <v>3.5555422073230147</v>
      </c>
      <c r="J139">
        <f t="shared" si="9"/>
        <v>1.5291561794583686</v>
      </c>
      <c r="K139">
        <f t="shared" si="10"/>
        <v>27.308215067023411</v>
      </c>
      <c r="L139" s="33">
        <f t="shared" si="11"/>
        <v>34.766103453875985</v>
      </c>
    </row>
    <row r="140" spans="3:12" x14ac:dyDescent="0.3">
      <c r="C140">
        <v>80.035005314202863</v>
      </c>
      <c r="D140">
        <v>71.413823156326544</v>
      </c>
      <c r="E140">
        <v>91.340008566330653</v>
      </c>
      <c r="F140">
        <v>128.52745531825349</v>
      </c>
      <c r="H140" s="33">
        <f t="shared" si="7"/>
        <v>0.70010628405725583</v>
      </c>
      <c r="I140">
        <f t="shared" si="8"/>
        <v>28.276463126530871</v>
      </c>
      <c r="J140">
        <f t="shared" si="9"/>
        <v>26.800171326613054</v>
      </c>
      <c r="K140">
        <f t="shared" si="10"/>
        <v>2.9450893634930253</v>
      </c>
      <c r="L140" s="33">
        <f t="shared" si="11"/>
        <v>58.721830100694206</v>
      </c>
    </row>
    <row r="141" spans="3:12" x14ac:dyDescent="0.3">
      <c r="C141">
        <v>80.544617932973779</v>
      </c>
      <c r="D141">
        <v>69.341866896429565</v>
      </c>
      <c r="E141">
        <v>89.950982783047948</v>
      </c>
      <c r="F141">
        <v>127.78905475977808</v>
      </c>
      <c r="H141" s="33">
        <f t="shared" si="7"/>
        <v>10.892358659475576</v>
      </c>
      <c r="I141">
        <f t="shared" si="8"/>
        <v>1.3162662071408704</v>
      </c>
      <c r="J141">
        <f t="shared" si="9"/>
        <v>9.8034433904103935E-2</v>
      </c>
      <c r="K141">
        <f t="shared" si="10"/>
        <v>4.4218904804438353</v>
      </c>
      <c r="L141" s="33">
        <f t="shared" si="11"/>
        <v>16.728549780964386</v>
      </c>
    </row>
    <row r="142" spans="3:12" x14ac:dyDescent="0.3">
      <c r="C142">
        <v>79.432973254442913</v>
      </c>
      <c r="D142">
        <v>70.278533889286336</v>
      </c>
      <c r="E142">
        <v>88.641360434703529</v>
      </c>
      <c r="F142">
        <v>128.71954287300468</v>
      </c>
      <c r="H142" s="33">
        <f t="shared" si="7"/>
        <v>1.1340534911141731</v>
      </c>
      <c r="I142">
        <f t="shared" si="8"/>
        <v>5.5706777857267298</v>
      </c>
      <c r="J142">
        <f t="shared" si="9"/>
        <v>2.7172791305929422</v>
      </c>
      <c r="K142">
        <f t="shared" si="10"/>
        <v>2.5609142539906316</v>
      </c>
      <c r="L142" s="33">
        <f t="shared" si="11"/>
        <v>11.982924661424477</v>
      </c>
    </row>
    <row r="143" spans="3:12" x14ac:dyDescent="0.3">
      <c r="C143">
        <v>79.377365611508139</v>
      </c>
      <c r="D143">
        <v>68.325320120784454</v>
      </c>
      <c r="E143">
        <v>89.942939439279144</v>
      </c>
      <c r="F143">
        <v>128.8783974913531</v>
      </c>
      <c r="H143" s="33">
        <f t="shared" si="7"/>
        <v>1.2452687769837212</v>
      </c>
      <c r="I143">
        <f t="shared" si="8"/>
        <v>3.3493597584310919</v>
      </c>
      <c r="J143">
        <f t="shared" si="9"/>
        <v>0.1141211214417126</v>
      </c>
      <c r="K143">
        <f t="shared" si="10"/>
        <v>2.2432050172938034</v>
      </c>
      <c r="L143" s="33">
        <f t="shared" si="11"/>
        <v>6.9519546741503291</v>
      </c>
    </row>
    <row r="144" spans="3:12" x14ac:dyDescent="0.3">
      <c r="C144">
        <v>78.752032297488768</v>
      </c>
      <c r="D144">
        <v>68.012590367579833</v>
      </c>
      <c r="E144">
        <v>90.467565541839576</v>
      </c>
      <c r="F144">
        <v>130.12636746760109</v>
      </c>
      <c r="H144" s="33">
        <f t="shared" si="7"/>
        <v>2.4959354050224647</v>
      </c>
      <c r="I144">
        <f t="shared" si="8"/>
        <v>3.9748192648403347</v>
      </c>
      <c r="J144">
        <f t="shared" si="9"/>
        <v>9.3513108367915265</v>
      </c>
      <c r="K144">
        <f t="shared" si="10"/>
        <v>2.5273493520217016</v>
      </c>
      <c r="L144" s="33">
        <f t="shared" si="11"/>
        <v>18.349414858676028</v>
      </c>
    </row>
    <row r="145" spans="3:12" x14ac:dyDescent="0.3">
      <c r="C145">
        <v>81.541343408462126</v>
      </c>
      <c r="D145">
        <v>69.63483332976466</v>
      </c>
      <c r="E145">
        <v>89.855258465686347</v>
      </c>
      <c r="F145">
        <v>128.74382410780527</v>
      </c>
      <c r="H145" s="33">
        <f t="shared" si="7"/>
        <v>30.826868169242516</v>
      </c>
      <c r="I145">
        <f t="shared" si="8"/>
        <v>0.7303333404706791</v>
      </c>
      <c r="J145">
        <f t="shared" si="9"/>
        <v>0.28948306862730533</v>
      </c>
      <c r="K145">
        <f t="shared" si="10"/>
        <v>2.512351784389466</v>
      </c>
      <c r="L145" s="33">
        <f t="shared" si="11"/>
        <v>34.359036362729967</v>
      </c>
    </row>
    <row r="146" spans="3:12" x14ac:dyDescent="0.3">
      <c r="C146">
        <v>80.80304516814067</v>
      </c>
      <c r="D146">
        <v>70.468162397737615</v>
      </c>
      <c r="E146">
        <v>88.552548277075402</v>
      </c>
      <c r="F146">
        <v>129.91033860169409</v>
      </c>
      <c r="H146" s="33">
        <f t="shared" si="7"/>
        <v>16.060903362813406</v>
      </c>
      <c r="I146">
        <f t="shared" si="8"/>
        <v>9.3632479547522962</v>
      </c>
      <c r="J146">
        <f t="shared" si="9"/>
        <v>2.8949034458491951</v>
      </c>
      <c r="K146">
        <f t="shared" si="10"/>
        <v>0.17932279661181383</v>
      </c>
      <c r="L146" s="33">
        <f t="shared" si="11"/>
        <v>28.498377560026711</v>
      </c>
    </row>
    <row r="147" spans="3:12" x14ac:dyDescent="0.3">
      <c r="C147">
        <v>80.000726458893041</v>
      </c>
      <c r="D147">
        <v>71.245139173988719</v>
      </c>
      <c r="E147">
        <v>90.956142685026862</v>
      </c>
      <c r="F147">
        <v>129.85386693879263</v>
      </c>
      <c r="H147" s="33">
        <f t="shared" si="7"/>
        <v>1.4529177860822529E-2</v>
      </c>
      <c r="I147">
        <f t="shared" si="8"/>
        <v>24.902783479774371</v>
      </c>
      <c r="J147">
        <f t="shared" si="9"/>
        <v>19.122853700537235</v>
      </c>
      <c r="K147">
        <f t="shared" si="10"/>
        <v>0.29226612241473049</v>
      </c>
      <c r="L147" s="33">
        <f t="shared" si="11"/>
        <v>44.332432480587158</v>
      </c>
    </row>
    <row r="148" spans="3:12" x14ac:dyDescent="0.3">
      <c r="C148">
        <v>78.999160197854508</v>
      </c>
      <c r="D148">
        <v>70.651214122626698</v>
      </c>
      <c r="E148">
        <v>91.198820882564178</v>
      </c>
      <c r="F148">
        <v>129.91202798810264</v>
      </c>
      <c r="H148" s="33">
        <f t="shared" si="7"/>
        <v>2.0016796042909846</v>
      </c>
      <c r="I148">
        <f t="shared" si="8"/>
        <v>13.024282452533953</v>
      </c>
      <c r="J148">
        <f t="shared" si="9"/>
        <v>23.976417651283555</v>
      </c>
      <c r="K148">
        <f t="shared" si="10"/>
        <v>0.1759440237947274</v>
      </c>
      <c r="L148" s="33">
        <f t="shared" si="11"/>
        <v>39.17832373190322</v>
      </c>
    </row>
    <row r="149" spans="3:12" x14ac:dyDescent="0.3">
      <c r="C149">
        <v>80.159368482854916</v>
      </c>
      <c r="D149">
        <v>68.874804987281095</v>
      </c>
      <c r="E149">
        <v>89.796846168464981</v>
      </c>
      <c r="F149">
        <v>130.3814056981355</v>
      </c>
      <c r="H149" s="33">
        <f t="shared" si="7"/>
        <v>3.1873696570983157</v>
      </c>
      <c r="I149">
        <f t="shared" si="8"/>
        <v>2.2503900254378095</v>
      </c>
      <c r="J149">
        <f t="shared" si="9"/>
        <v>0.40630766307003796</v>
      </c>
      <c r="K149">
        <f t="shared" si="10"/>
        <v>7.6281139627099037</v>
      </c>
      <c r="L149" s="33">
        <f t="shared" si="11"/>
        <v>13.472181308316067</v>
      </c>
    </row>
    <row r="150" spans="3:12" x14ac:dyDescent="0.3">
      <c r="C150">
        <v>79.860667685425142</v>
      </c>
      <c r="D150">
        <v>69.890810613578651</v>
      </c>
      <c r="E150">
        <v>89.209460384008707</v>
      </c>
      <c r="F150">
        <v>129.94447193785163</v>
      </c>
      <c r="H150" s="33">
        <f t="shared" si="7"/>
        <v>0.27866462914971635</v>
      </c>
      <c r="I150">
        <f t="shared" si="8"/>
        <v>0.2183787728426978</v>
      </c>
      <c r="J150">
        <f t="shared" si="9"/>
        <v>1.581079231982585</v>
      </c>
      <c r="K150">
        <f t="shared" si="10"/>
        <v>0.11105612429673783</v>
      </c>
      <c r="L150" s="33">
        <f t="shared" si="11"/>
        <v>2.189178758271737</v>
      </c>
    </row>
    <row r="151" spans="3:12" x14ac:dyDescent="0.3">
      <c r="C151">
        <v>79.508577275264543</v>
      </c>
      <c r="D151">
        <v>70.321266497849138</v>
      </c>
      <c r="E151">
        <v>90.399734290112974</v>
      </c>
      <c r="F151">
        <v>131.5152727428358</v>
      </c>
      <c r="H151" s="33">
        <f t="shared" ref="H151:H214" si="12">IF(C151&gt;$C$19,(C151-$C$19)*$I$11,($C$19-C151)*$H$11)</f>
        <v>0.9828454494709149</v>
      </c>
      <c r="I151">
        <f t="shared" ref="I151:I214" si="13">IF(D151&gt;$D$19,(D151-$D$19)*$I$11,($D$19-D151)*$H$11)</f>
        <v>6.4253299569827504</v>
      </c>
      <c r="J151">
        <f t="shared" ref="J151:J214" si="14">IF(E151&gt;$E$19,(E151-$E$19)*$I$11,($E$19-E151)*$H$11)</f>
        <v>7.9946858022594824</v>
      </c>
      <c r="K151">
        <f t="shared" ref="K151:K214" si="15">IF(F151&gt;$F$19,(F151-$F$19)*$I$11,($F$19-F151)*$H$11)</f>
        <v>30.305454856716096</v>
      </c>
      <c r="L151" s="33">
        <f t="shared" ref="L151:L214" si="16">SUM(H151:K151)</f>
        <v>45.708316065429244</v>
      </c>
    </row>
    <row r="152" spans="3:12" x14ac:dyDescent="0.3">
      <c r="C152">
        <v>79.425951955345226</v>
      </c>
      <c r="D152">
        <v>69.539760437983205</v>
      </c>
      <c r="E152">
        <v>89.418630522995954</v>
      </c>
      <c r="F152">
        <v>131.89858837984502</v>
      </c>
      <c r="H152" s="33">
        <f t="shared" si="12"/>
        <v>1.1480960893095471</v>
      </c>
      <c r="I152">
        <f t="shared" si="13"/>
        <v>0.92047912403359078</v>
      </c>
      <c r="J152">
        <f t="shared" si="14"/>
        <v>1.1627389540080912</v>
      </c>
      <c r="K152">
        <f t="shared" si="15"/>
        <v>37.971767596900463</v>
      </c>
      <c r="L152" s="33">
        <f t="shared" si="16"/>
        <v>41.203081764251692</v>
      </c>
    </row>
    <row r="153" spans="3:12" x14ac:dyDescent="0.3">
      <c r="C153">
        <v>80.981708581093699</v>
      </c>
      <c r="D153">
        <v>69.036824647191679</v>
      </c>
      <c r="E153">
        <v>90.797249413153622</v>
      </c>
      <c r="F153">
        <v>129.76849039740046</v>
      </c>
      <c r="H153" s="33">
        <f t="shared" si="12"/>
        <v>19.634171621873975</v>
      </c>
      <c r="I153">
        <f t="shared" si="13"/>
        <v>1.9263507056166418</v>
      </c>
      <c r="J153">
        <f t="shared" si="14"/>
        <v>15.944988263072446</v>
      </c>
      <c r="K153">
        <f t="shared" si="15"/>
        <v>0.4630192051990889</v>
      </c>
      <c r="L153" s="33">
        <f t="shared" si="16"/>
        <v>37.968529795762151</v>
      </c>
    </row>
    <row r="154" spans="3:12" x14ac:dyDescent="0.3">
      <c r="C154">
        <v>80.570532847632421</v>
      </c>
      <c r="D154">
        <v>70.457180249213707</v>
      </c>
      <c r="E154">
        <v>91.619168870092835</v>
      </c>
      <c r="F154">
        <v>130.39443648347515</v>
      </c>
      <c r="H154" s="33">
        <f t="shared" si="12"/>
        <v>11.410656952648424</v>
      </c>
      <c r="I154">
        <f t="shared" si="13"/>
        <v>9.143604984274134</v>
      </c>
      <c r="J154">
        <f t="shared" si="14"/>
        <v>32.383377401856706</v>
      </c>
      <c r="K154">
        <f t="shared" si="15"/>
        <v>7.8887296695029363</v>
      </c>
      <c r="L154" s="33">
        <f t="shared" si="16"/>
        <v>60.8263690082822</v>
      </c>
    </row>
    <row r="155" spans="3:12" x14ac:dyDescent="0.3">
      <c r="C155">
        <v>78.837427028774982</v>
      </c>
      <c r="D155">
        <v>71.919397618621588</v>
      </c>
      <c r="E155">
        <v>89.856727299629711</v>
      </c>
      <c r="F155">
        <v>129.04458036326105</v>
      </c>
      <c r="H155" s="33">
        <f t="shared" si="12"/>
        <v>2.3251459424500354</v>
      </c>
      <c r="I155">
        <f t="shared" si="13"/>
        <v>38.387952372431755</v>
      </c>
      <c r="J155">
        <f t="shared" si="14"/>
        <v>0.28654540074057877</v>
      </c>
      <c r="K155">
        <f t="shared" si="15"/>
        <v>1.9108392734779045</v>
      </c>
      <c r="L155" s="33">
        <f t="shared" si="16"/>
        <v>42.910482989100274</v>
      </c>
    </row>
    <row r="156" spans="3:12" x14ac:dyDescent="0.3">
      <c r="C156">
        <v>79.402247112811892</v>
      </c>
      <c r="D156">
        <v>69.358213926825556</v>
      </c>
      <c r="E156">
        <v>89.944395767670358</v>
      </c>
      <c r="F156">
        <v>130.26242560124956</v>
      </c>
      <c r="H156" s="33">
        <f t="shared" si="12"/>
        <v>1.1955057743762154</v>
      </c>
      <c r="I156">
        <f t="shared" si="13"/>
        <v>1.2835721463488881</v>
      </c>
      <c r="J156">
        <f t="shared" si="14"/>
        <v>0.1112084646592848</v>
      </c>
      <c r="K156">
        <f t="shared" si="15"/>
        <v>5.2485120249912143</v>
      </c>
      <c r="L156" s="33">
        <f t="shared" si="16"/>
        <v>7.8387984103756025</v>
      </c>
    </row>
    <row r="157" spans="3:12" x14ac:dyDescent="0.3">
      <c r="C157">
        <v>80.494792402605526</v>
      </c>
      <c r="D157">
        <v>69.848064362595323</v>
      </c>
      <c r="E157">
        <v>91.764915396051947</v>
      </c>
      <c r="F157">
        <v>130.37532458918577</v>
      </c>
      <c r="H157" s="33">
        <f t="shared" si="12"/>
        <v>9.895848052110523</v>
      </c>
      <c r="I157">
        <f t="shared" si="13"/>
        <v>0.30387127480935305</v>
      </c>
      <c r="J157">
        <f t="shared" si="14"/>
        <v>35.298307921038941</v>
      </c>
      <c r="K157">
        <f t="shared" si="15"/>
        <v>7.5064917837153189</v>
      </c>
      <c r="L157" s="33">
        <f t="shared" si="16"/>
        <v>53.004519031674135</v>
      </c>
    </row>
    <row r="158" spans="3:12" x14ac:dyDescent="0.3">
      <c r="C158">
        <v>79.642265038346522</v>
      </c>
      <c r="D158">
        <v>70.130069111037301</v>
      </c>
      <c r="E158">
        <v>90.79357505455846</v>
      </c>
      <c r="F158">
        <v>128.761641109013</v>
      </c>
      <c r="H158" s="33">
        <f t="shared" si="12"/>
        <v>0.71546992330695502</v>
      </c>
      <c r="I158">
        <f t="shared" si="13"/>
        <v>2.601382220746018</v>
      </c>
      <c r="J158">
        <f t="shared" si="14"/>
        <v>15.871501091169193</v>
      </c>
      <c r="K158">
        <f t="shared" si="15"/>
        <v>2.4767177819740027</v>
      </c>
      <c r="L158" s="33">
        <f t="shared" si="16"/>
        <v>21.665071017196169</v>
      </c>
    </row>
    <row r="159" spans="3:12" x14ac:dyDescent="0.3">
      <c r="C159">
        <v>80.031254785426427</v>
      </c>
      <c r="D159">
        <v>69.825349732418545</v>
      </c>
      <c r="E159">
        <v>91.124908521887846</v>
      </c>
      <c r="F159">
        <v>130.21746586753579</v>
      </c>
      <c r="H159" s="33">
        <f t="shared" si="12"/>
        <v>0.62509570852853358</v>
      </c>
      <c r="I159">
        <f t="shared" si="13"/>
        <v>0.34930053516291082</v>
      </c>
      <c r="J159">
        <f t="shared" si="14"/>
        <v>22.498170437756926</v>
      </c>
      <c r="K159">
        <f t="shared" si="15"/>
        <v>4.3493173507158644</v>
      </c>
      <c r="L159" s="33">
        <f t="shared" si="16"/>
        <v>27.821884032164235</v>
      </c>
    </row>
    <row r="160" spans="3:12" x14ac:dyDescent="0.3">
      <c r="C160">
        <v>79.588553691864945</v>
      </c>
      <c r="D160">
        <v>68.994098859839141</v>
      </c>
      <c r="E160">
        <v>89.448982634930871</v>
      </c>
      <c r="F160">
        <v>129.02876425039722</v>
      </c>
      <c r="H160" s="33">
        <f t="shared" si="12"/>
        <v>0.82289261627011001</v>
      </c>
      <c r="I160">
        <f t="shared" si="13"/>
        <v>2.0118022803217173</v>
      </c>
      <c r="J160">
        <f t="shared" si="14"/>
        <v>1.1020347301382571</v>
      </c>
      <c r="K160">
        <f t="shared" si="15"/>
        <v>1.9424714992055669</v>
      </c>
      <c r="L160" s="33">
        <f t="shared" si="16"/>
        <v>5.8792011259356514</v>
      </c>
    </row>
    <row r="161" spans="3:12" x14ac:dyDescent="0.3">
      <c r="C161">
        <v>79.056228716654005</v>
      </c>
      <c r="D161">
        <v>69.640307351000956</v>
      </c>
      <c r="E161">
        <v>89.929294745015795</v>
      </c>
      <c r="F161">
        <v>128.55472651688615</v>
      </c>
      <c r="H161" s="33">
        <f t="shared" si="12"/>
        <v>1.8875425666919909</v>
      </c>
      <c r="I161">
        <f t="shared" si="13"/>
        <v>0.71938529799808748</v>
      </c>
      <c r="J161">
        <f t="shared" si="14"/>
        <v>0.14141050996840931</v>
      </c>
      <c r="K161">
        <f t="shared" si="15"/>
        <v>2.8905469662277028</v>
      </c>
      <c r="L161" s="33">
        <f t="shared" si="16"/>
        <v>5.6388853408861905</v>
      </c>
    </row>
    <row r="162" spans="3:12" x14ac:dyDescent="0.3">
      <c r="C162">
        <v>80.581460426474223</v>
      </c>
      <c r="D162">
        <v>70.496781922265654</v>
      </c>
      <c r="E162">
        <v>90.582911070523551</v>
      </c>
      <c r="F162">
        <v>130.96915300673572</v>
      </c>
      <c r="H162" s="33">
        <f t="shared" si="12"/>
        <v>11.629208529484458</v>
      </c>
      <c r="I162">
        <f t="shared" si="13"/>
        <v>9.9356384453130886</v>
      </c>
      <c r="J162">
        <f t="shared" si="14"/>
        <v>11.658221410471015</v>
      </c>
      <c r="K162">
        <f t="shared" si="15"/>
        <v>19.383060134714469</v>
      </c>
      <c r="L162" s="33">
        <f t="shared" si="16"/>
        <v>52.606128519983031</v>
      </c>
    </row>
    <row r="163" spans="3:12" x14ac:dyDescent="0.3">
      <c r="C163">
        <v>79.931595766611281</v>
      </c>
      <c r="D163">
        <v>68.893904376018327</v>
      </c>
      <c r="E163">
        <v>90.607660695095547</v>
      </c>
      <c r="F163">
        <v>129.52730831864756</v>
      </c>
      <c r="H163" s="33">
        <f t="shared" si="12"/>
        <v>0.1368084667774383</v>
      </c>
      <c r="I163">
        <f t="shared" si="13"/>
        <v>2.2121912479633465</v>
      </c>
      <c r="J163">
        <f t="shared" si="14"/>
        <v>12.153213901910931</v>
      </c>
      <c r="K163">
        <f t="shared" si="15"/>
        <v>0.94538336270488799</v>
      </c>
      <c r="L163" s="33">
        <f t="shared" si="16"/>
        <v>15.447596979356604</v>
      </c>
    </row>
    <row r="164" spans="3:12" x14ac:dyDescent="0.3">
      <c r="C164">
        <v>81.714215613901615</v>
      </c>
      <c r="D164">
        <v>69.308631686290028</v>
      </c>
      <c r="E164">
        <v>90.165182427735999</v>
      </c>
      <c r="F164">
        <v>129.80012489686487</v>
      </c>
      <c r="H164" s="33">
        <f t="shared" si="12"/>
        <v>34.284312278032303</v>
      </c>
      <c r="I164">
        <f t="shared" si="13"/>
        <v>1.3827366274199449</v>
      </c>
      <c r="J164">
        <f t="shared" si="14"/>
        <v>3.3036485547199845</v>
      </c>
      <c r="K164">
        <f t="shared" si="15"/>
        <v>0.39975020627025515</v>
      </c>
      <c r="L164" s="33">
        <f t="shared" si="16"/>
        <v>39.370447666442487</v>
      </c>
    </row>
    <row r="165" spans="3:12" x14ac:dyDescent="0.3">
      <c r="C165">
        <v>82.875895006582141</v>
      </c>
      <c r="D165">
        <v>70.962445483310148</v>
      </c>
      <c r="E165">
        <v>90.26789393814397</v>
      </c>
      <c r="F165">
        <v>129.77147581375903</v>
      </c>
      <c r="H165" s="33">
        <f t="shared" si="12"/>
        <v>57.517900131642818</v>
      </c>
      <c r="I165">
        <f t="shared" si="13"/>
        <v>19.248909666202962</v>
      </c>
      <c r="J165">
        <f t="shared" si="14"/>
        <v>5.3578787628794089</v>
      </c>
      <c r="K165">
        <f t="shared" si="15"/>
        <v>0.45704837248194963</v>
      </c>
      <c r="L165" s="33">
        <f t="shared" si="16"/>
        <v>82.581736933207139</v>
      </c>
    </row>
    <row r="166" spans="3:12" x14ac:dyDescent="0.3">
      <c r="C166">
        <v>80.589541286899475</v>
      </c>
      <c r="D166">
        <v>68.580965439032298</v>
      </c>
      <c r="E166">
        <v>91.373814484395552</v>
      </c>
      <c r="F166">
        <v>129.00632928984123</v>
      </c>
      <c r="H166" s="33">
        <f t="shared" si="12"/>
        <v>11.790825737989508</v>
      </c>
      <c r="I166">
        <f t="shared" si="13"/>
        <v>2.8380691219354048</v>
      </c>
      <c r="J166">
        <f t="shared" si="14"/>
        <v>27.476289687911049</v>
      </c>
      <c r="K166">
        <f t="shared" si="15"/>
        <v>1.9873414203175344</v>
      </c>
      <c r="L166" s="33">
        <f t="shared" si="16"/>
        <v>44.092525968153495</v>
      </c>
    </row>
    <row r="167" spans="3:12" x14ac:dyDescent="0.3">
      <c r="C167">
        <v>80.05652395884681</v>
      </c>
      <c r="D167">
        <v>70.066333996073809</v>
      </c>
      <c r="E167">
        <v>91.564067133585922</v>
      </c>
      <c r="F167">
        <v>129.84008923092915</v>
      </c>
      <c r="H167" s="33">
        <f t="shared" si="12"/>
        <v>1.1304791769362055</v>
      </c>
      <c r="I167">
        <f t="shared" si="13"/>
        <v>1.3266799214761704</v>
      </c>
      <c r="J167">
        <f t="shared" si="14"/>
        <v>31.281342671718448</v>
      </c>
      <c r="K167">
        <f t="shared" si="15"/>
        <v>0.31982153814169578</v>
      </c>
      <c r="L167" s="33">
        <f t="shared" si="16"/>
        <v>34.05832330827252</v>
      </c>
    </row>
    <row r="168" spans="3:12" x14ac:dyDescent="0.3">
      <c r="C168">
        <v>78.96786903264001</v>
      </c>
      <c r="D168">
        <v>69.978388132149121</v>
      </c>
      <c r="E168">
        <v>90.732970875105821</v>
      </c>
      <c r="F168">
        <v>129.96530050339061</v>
      </c>
      <c r="H168" s="33">
        <f t="shared" si="12"/>
        <v>2.0642619347199798</v>
      </c>
      <c r="I168">
        <f t="shared" si="13"/>
        <v>4.3223735701758415E-2</v>
      </c>
      <c r="J168">
        <f t="shared" si="14"/>
        <v>14.659417502116412</v>
      </c>
      <c r="K168">
        <f t="shared" si="15"/>
        <v>6.9398993218783289E-2</v>
      </c>
      <c r="L168" s="33">
        <f t="shared" si="16"/>
        <v>16.836302165756933</v>
      </c>
    </row>
    <row r="169" spans="3:12" x14ac:dyDescent="0.3">
      <c r="C169">
        <v>80.95977384262369</v>
      </c>
      <c r="D169">
        <v>70.149768766277703</v>
      </c>
      <c r="E169">
        <v>90.724292021914152</v>
      </c>
      <c r="F169">
        <v>130.8948609320214</v>
      </c>
      <c r="H169" s="33">
        <f t="shared" si="12"/>
        <v>19.195476852473803</v>
      </c>
      <c r="I169">
        <f t="shared" si="13"/>
        <v>2.9953753255540505</v>
      </c>
      <c r="J169">
        <f t="shared" si="14"/>
        <v>14.485840438283049</v>
      </c>
      <c r="K169">
        <f t="shared" si="15"/>
        <v>17.897218640428036</v>
      </c>
      <c r="L169" s="33">
        <f t="shared" si="16"/>
        <v>54.573911256738938</v>
      </c>
    </row>
    <row r="170" spans="3:12" x14ac:dyDescent="0.3">
      <c r="C170">
        <v>80.335556933350745</v>
      </c>
      <c r="D170">
        <v>69.429196577693801</v>
      </c>
      <c r="E170">
        <v>89.353412931668572</v>
      </c>
      <c r="F170">
        <v>130.14729266695213</v>
      </c>
      <c r="H170" s="33">
        <f t="shared" si="12"/>
        <v>6.7111386670148931</v>
      </c>
      <c r="I170">
        <f t="shared" si="13"/>
        <v>1.1416068446123973</v>
      </c>
      <c r="J170">
        <f t="shared" si="14"/>
        <v>1.2931741366628557</v>
      </c>
      <c r="K170">
        <f t="shared" si="15"/>
        <v>2.9458533390425146</v>
      </c>
      <c r="L170" s="33">
        <f t="shared" si="16"/>
        <v>12.091772987332661</v>
      </c>
    </row>
    <row r="171" spans="3:12" x14ac:dyDescent="0.3">
      <c r="C171">
        <v>80.233474111155374</v>
      </c>
      <c r="D171">
        <v>69.667759311705595</v>
      </c>
      <c r="E171">
        <v>88.43123532627942</v>
      </c>
      <c r="F171">
        <v>128.98055648372974</v>
      </c>
      <c r="H171" s="33">
        <f t="shared" si="12"/>
        <v>4.6694822231074795</v>
      </c>
      <c r="I171">
        <f t="shared" si="13"/>
        <v>0.66448137658881024</v>
      </c>
      <c r="J171">
        <f t="shared" si="14"/>
        <v>3.1375293474411592</v>
      </c>
      <c r="K171">
        <f t="shared" si="15"/>
        <v>2.0388870325405151</v>
      </c>
      <c r="L171" s="33">
        <f t="shared" si="16"/>
        <v>10.510379979677964</v>
      </c>
    </row>
    <row r="172" spans="3:12" x14ac:dyDescent="0.3">
      <c r="C172">
        <v>79.935198502498679</v>
      </c>
      <c r="D172">
        <v>70.510067366121802</v>
      </c>
      <c r="E172">
        <v>88.793136910535395</v>
      </c>
      <c r="F172">
        <v>129.58747139316984</v>
      </c>
      <c r="H172" s="33">
        <f t="shared" si="12"/>
        <v>0.12960299500264227</v>
      </c>
      <c r="I172">
        <f t="shared" si="13"/>
        <v>10.20134732243605</v>
      </c>
      <c r="J172">
        <f t="shared" si="14"/>
        <v>2.4137261789292097</v>
      </c>
      <c r="K172">
        <f t="shared" si="15"/>
        <v>0.82505721366032958</v>
      </c>
      <c r="L172" s="33">
        <f t="shared" si="16"/>
        <v>13.569733710028231</v>
      </c>
    </row>
    <row r="173" spans="3:12" x14ac:dyDescent="0.3">
      <c r="C173">
        <v>79.98297880665632</v>
      </c>
      <c r="D173">
        <v>69.719636889494723</v>
      </c>
      <c r="E173">
        <v>89.191027200140525</v>
      </c>
      <c r="F173">
        <v>126.98426108807325</v>
      </c>
      <c r="H173" s="33">
        <f t="shared" si="12"/>
        <v>3.4042386687360704E-2</v>
      </c>
      <c r="I173">
        <f t="shared" si="13"/>
        <v>0.56072622101055458</v>
      </c>
      <c r="J173">
        <f t="shared" si="14"/>
        <v>1.6179455997189507</v>
      </c>
      <c r="K173">
        <f t="shared" si="15"/>
        <v>6.0314778238534927</v>
      </c>
      <c r="L173" s="33">
        <f t="shared" si="16"/>
        <v>8.2441920312703587</v>
      </c>
    </row>
    <row r="174" spans="3:12" x14ac:dyDescent="0.3">
      <c r="C174">
        <v>78.499038156296592</v>
      </c>
      <c r="D174">
        <v>70.108495896711247</v>
      </c>
      <c r="E174">
        <v>90.738485823603696</v>
      </c>
      <c r="F174">
        <v>129.87679416335595</v>
      </c>
      <c r="H174" s="33">
        <f t="shared" si="12"/>
        <v>3.0019236874068156</v>
      </c>
      <c r="I174">
        <f t="shared" si="13"/>
        <v>2.1699179342249408</v>
      </c>
      <c r="J174">
        <f t="shared" si="14"/>
        <v>14.769716472073924</v>
      </c>
      <c r="K174">
        <f t="shared" si="15"/>
        <v>0.24641167328809388</v>
      </c>
      <c r="L174" s="33">
        <f t="shared" si="16"/>
        <v>20.187969766993774</v>
      </c>
    </row>
    <row r="175" spans="3:12" x14ac:dyDescent="0.3">
      <c r="C175">
        <v>78.601392690034118</v>
      </c>
      <c r="D175">
        <v>68.861740095890127</v>
      </c>
      <c r="E175">
        <v>88.961070559744257</v>
      </c>
      <c r="F175">
        <v>128.07379936100915</v>
      </c>
      <c r="H175" s="33">
        <f t="shared" si="12"/>
        <v>2.7972146199317649</v>
      </c>
      <c r="I175">
        <f t="shared" si="13"/>
        <v>2.2765198082197458</v>
      </c>
      <c r="J175">
        <f t="shared" si="14"/>
        <v>2.077858880511485</v>
      </c>
      <c r="K175">
        <f t="shared" si="15"/>
        <v>3.8524012779816985</v>
      </c>
      <c r="L175" s="33">
        <f t="shared" si="16"/>
        <v>11.003994586644694</v>
      </c>
    </row>
    <row r="176" spans="3:12" x14ac:dyDescent="0.3">
      <c r="C176">
        <v>79.885576471569948</v>
      </c>
      <c r="D176">
        <v>69.917863533482887</v>
      </c>
      <c r="E176">
        <v>90.044038870328222</v>
      </c>
      <c r="F176">
        <v>129.60217110128724</v>
      </c>
      <c r="H176" s="33">
        <f t="shared" si="12"/>
        <v>0.2288470568601042</v>
      </c>
      <c r="I176">
        <f t="shared" si="13"/>
        <v>0.1642729330342263</v>
      </c>
      <c r="J176">
        <f t="shared" si="14"/>
        <v>0.88077740656444803</v>
      </c>
      <c r="K176">
        <f t="shared" si="15"/>
        <v>0.79565779742551968</v>
      </c>
      <c r="L176" s="33">
        <f t="shared" si="16"/>
        <v>2.0695551938842982</v>
      </c>
    </row>
    <row r="177" spans="3:12" x14ac:dyDescent="0.3">
      <c r="C177">
        <v>80.592822289036121</v>
      </c>
      <c r="D177">
        <v>72.187753125326708</v>
      </c>
      <c r="E177">
        <v>89.532519723288715</v>
      </c>
      <c r="F177">
        <v>129.43279362923931</v>
      </c>
      <c r="H177" s="33">
        <f t="shared" si="12"/>
        <v>11.856445780722424</v>
      </c>
      <c r="I177">
        <f t="shared" si="13"/>
        <v>43.755062506534159</v>
      </c>
      <c r="J177">
        <f t="shared" si="14"/>
        <v>0.93496055342257023</v>
      </c>
      <c r="K177">
        <f t="shared" si="15"/>
        <v>1.1344127415213734</v>
      </c>
      <c r="L177" s="33">
        <f t="shared" si="16"/>
        <v>57.680881582200527</v>
      </c>
    </row>
    <row r="178" spans="3:12" x14ac:dyDescent="0.3">
      <c r="C178">
        <v>79.571258513242356</v>
      </c>
      <c r="D178">
        <v>71.125629296439001</v>
      </c>
      <c r="E178">
        <v>89.772575165479793</v>
      </c>
      <c r="F178">
        <v>129.07246547081741</v>
      </c>
      <c r="H178" s="33">
        <f t="shared" si="12"/>
        <v>0.8574829735152889</v>
      </c>
      <c r="I178">
        <f t="shared" si="13"/>
        <v>22.512585928780027</v>
      </c>
      <c r="J178">
        <f t="shared" si="14"/>
        <v>0.45484966904041357</v>
      </c>
      <c r="K178">
        <f t="shared" si="15"/>
        <v>1.8550690583651885</v>
      </c>
      <c r="L178" s="33">
        <f t="shared" si="16"/>
        <v>25.679987629700918</v>
      </c>
    </row>
    <row r="179" spans="3:12" x14ac:dyDescent="0.3">
      <c r="C179">
        <v>82.475462679285556</v>
      </c>
      <c r="D179">
        <v>69.302497144526569</v>
      </c>
      <c r="E179">
        <v>89.982366034601</v>
      </c>
      <c r="F179">
        <v>130.46927311814215</v>
      </c>
      <c r="H179" s="33">
        <f t="shared" si="12"/>
        <v>49.509253585711122</v>
      </c>
      <c r="I179">
        <f t="shared" si="13"/>
        <v>1.3950057109468617</v>
      </c>
      <c r="J179">
        <f t="shared" si="14"/>
        <v>3.5267930797999725E-2</v>
      </c>
      <c r="K179">
        <f t="shared" si="15"/>
        <v>9.3854623628431</v>
      </c>
      <c r="L179" s="33">
        <f t="shared" si="16"/>
        <v>60.324989590299083</v>
      </c>
    </row>
    <row r="180" spans="3:12" x14ac:dyDescent="0.3">
      <c r="C180">
        <v>80.879215349414153</v>
      </c>
      <c r="D180">
        <v>70.04488128979574</v>
      </c>
      <c r="E180">
        <v>88.96434474067064</v>
      </c>
      <c r="F180">
        <v>129.15221451374236</v>
      </c>
      <c r="H180" s="33">
        <f t="shared" si="12"/>
        <v>17.58430698828306</v>
      </c>
      <c r="I180">
        <f t="shared" si="13"/>
        <v>0.89762579591479152</v>
      </c>
      <c r="J180">
        <f t="shared" si="14"/>
        <v>2.07131051865872</v>
      </c>
      <c r="K180">
        <f t="shared" si="15"/>
        <v>1.6955709725152701</v>
      </c>
      <c r="L180" s="33">
        <f t="shared" si="16"/>
        <v>22.248814275371842</v>
      </c>
    </row>
    <row r="181" spans="3:12" x14ac:dyDescent="0.3">
      <c r="C181">
        <v>80.433274180977605</v>
      </c>
      <c r="D181">
        <v>70.253489815804642</v>
      </c>
      <c r="E181">
        <v>88.505145413218997</v>
      </c>
      <c r="F181">
        <v>129.65860979500576</v>
      </c>
      <c r="H181" s="33">
        <f t="shared" si="12"/>
        <v>8.6654836195521057</v>
      </c>
      <c r="I181">
        <f t="shared" si="13"/>
        <v>5.0697963160928339</v>
      </c>
      <c r="J181">
        <f t="shared" si="14"/>
        <v>2.9897091735620052</v>
      </c>
      <c r="K181">
        <f t="shared" si="15"/>
        <v>0.68278040998848155</v>
      </c>
      <c r="L181" s="33">
        <f t="shared" si="16"/>
        <v>17.407769519195426</v>
      </c>
    </row>
    <row r="182" spans="3:12" x14ac:dyDescent="0.3">
      <c r="C182">
        <v>80.233945911531919</v>
      </c>
      <c r="D182">
        <v>71.092796537704999</v>
      </c>
      <c r="E182">
        <v>89.554339638052625</v>
      </c>
      <c r="F182">
        <v>130.75069920058013</v>
      </c>
      <c r="H182" s="33">
        <f t="shared" si="12"/>
        <v>4.6789182306383736</v>
      </c>
      <c r="I182">
        <f t="shared" si="13"/>
        <v>21.855930754099973</v>
      </c>
      <c r="J182">
        <f t="shared" si="14"/>
        <v>0.8913207238947507</v>
      </c>
      <c r="K182">
        <f t="shared" si="15"/>
        <v>15.013984011602588</v>
      </c>
      <c r="L182" s="33">
        <f t="shared" si="16"/>
        <v>42.440153720235685</v>
      </c>
    </row>
    <row r="183" spans="3:12" x14ac:dyDescent="0.3">
      <c r="C183">
        <v>80.16045305528678</v>
      </c>
      <c r="D183">
        <v>69.618019046465633</v>
      </c>
      <c r="E183">
        <v>91.910311766550876</v>
      </c>
      <c r="F183">
        <v>128.66280177229783</v>
      </c>
      <c r="H183" s="33">
        <f t="shared" si="12"/>
        <v>3.2090611057356</v>
      </c>
      <c r="I183">
        <f t="shared" si="13"/>
        <v>0.76396190706873313</v>
      </c>
      <c r="J183">
        <f t="shared" si="14"/>
        <v>38.206235331017524</v>
      </c>
      <c r="K183">
        <f t="shared" si="15"/>
        <v>2.6743964554043487</v>
      </c>
      <c r="L183" s="33">
        <f t="shared" si="16"/>
        <v>44.853654799226206</v>
      </c>
    </row>
    <row r="184" spans="3:12" x14ac:dyDescent="0.3">
      <c r="C184">
        <v>79.175006450968795</v>
      </c>
      <c r="D184">
        <v>68.93418589635985</v>
      </c>
      <c r="E184">
        <v>91.158673512691166</v>
      </c>
      <c r="F184">
        <v>129.17715513220173</v>
      </c>
      <c r="H184" s="33">
        <f t="shared" si="12"/>
        <v>1.649987098062411</v>
      </c>
      <c r="I184">
        <f t="shared" si="13"/>
        <v>2.1316282072803006</v>
      </c>
      <c r="J184">
        <f t="shared" si="14"/>
        <v>23.173470253823325</v>
      </c>
      <c r="K184">
        <f t="shared" si="15"/>
        <v>1.6456897355965339</v>
      </c>
      <c r="L184" s="33">
        <f t="shared" si="16"/>
        <v>28.60077529476257</v>
      </c>
    </row>
    <row r="185" spans="3:12" x14ac:dyDescent="0.3">
      <c r="C185">
        <v>80.644138253846904</v>
      </c>
      <c r="D185">
        <v>69.269628006004496</v>
      </c>
      <c r="E185">
        <v>90.891100171429571</v>
      </c>
      <c r="F185">
        <v>128.8263789418852</v>
      </c>
      <c r="H185" s="33">
        <f t="shared" si="12"/>
        <v>12.882765076938085</v>
      </c>
      <c r="I185">
        <f t="shared" si="13"/>
        <v>1.4607439879910089</v>
      </c>
      <c r="J185">
        <f t="shared" si="14"/>
        <v>17.822003428591415</v>
      </c>
      <c r="K185">
        <f t="shared" si="15"/>
        <v>2.3472421162296087</v>
      </c>
      <c r="L185" s="33">
        <f t="shared" si="16"/>
        <v>34.512754609750118</v>
      </c>
    </row>
    <row r="186" spans="3:12" x14ac:dyDescent="0.3">
      <c r="C186">
        <v>81.22919118439313</v>
      </c>
      <c r="D186">
        <v>69.628530531481374</v>
      </c>
      <c r="E186">
        <v>88.484245224972256</v>
      </c>
      <c r="F186">
        <v>130.60756860875699</v>
      </c>
      <c r="H186" s="33">
        <f t="shared" si="12"/>
        <v>24.583823687862605</v>
      </c>
      <c r="I186">
        <f t="shared" si="13"/>
        <v>0.74293893703725189</v>
      </c>
      <c r="J186">
        <f t="shared" si="14"/>
        <v>3.0315095500554889</v>
      </c>
      <c r="K186">
        <f t="shared" si="15"/>
        <v>12.151372175139841</v>
      </c>
      <c r="L186" s="33">
        <f t="shared" si="16"/>
        <v>40.509644350095186</v>
      </c>
    </row>
    <row r="187" spans="3:12" x14ac:dyDescent="0.3">
      <c r="C187">
        <v>79.393627376775839</v>
      </c>
      <c r="D187">
        <v>71.707276169327088</v>
      </c>
      <c r="E187">
        <v>90.202451246877899</v>
      </c>
      <c r="F187">
        <v>131.69139184436062</v>
      </c>
      <c r="H187" s="33">
        <f t="shared" si="12"/>
        <v>1.2127452464483213</v>
      </c>
      <c r="I187">
        <f t="shared" si="13"/>
        <v>34.145523386541754</v>
      </c>
      <c r="J187">
        <f t="shared" si="14"/>
        <v>4.0490249375579879</v>
      </c>
      <c r="K187">
        <f t="shared" si="15"/>
        <v>33.82783688721247</v>
      </c>
      <c r="L187" s="33">
        <f t="shared" si="16"/>
        <v>73.235130457760533</v>
      </c>
    </row>
    <row r="188" spans="3:12" x14ac:dyDescent="0.3">
      <c r="C188">
        <v>80.919101239560405</v>
      </c>
      <c r="D188">
        <v>69.551465634795022</v>
      </c>
      <c r="E188">
        <v>89.648375705874059</v>
      </c>
      <c r="F188">
        <v>129.4700533534342</v>
      </c>
      <c r="H188" s="33">
        <f t="shared" si="12"/>
        <v>18.382024791208096</v>
      </c>
      <c r="I188">
        <f t="shared" si="13"/>
        <v>0.89706873040995561</v>
      </c>
      <c r="J188">
        <f t="shared" si="14"/>
        <v>0.7032485882518813</v>
      </c>
      <c r="K188">
        <f t="shared" si="15"/>
        <v>1.0598932931316085</v>
      </c>
      <c r="L188" s="33">
        <f t="shared" si="16"/>
        <v>21.042235403001541</v>
      </c>
    </row>
    <row r="189" spans="3:12" x14ac:dyDescent="0.3">
      <c r="C189">
        <v>77.95416442793794</v>
      </c>
      <c r="D189">
        <v>71.693633748800494</v>
      </c>
      <c r="E189">
        <v>88.830178356001852</v>
      </c>
      <c r="F189">
        <v>129.08544168647495</v>
      </c>
      <c r="H189" s="33">
        <f t="shared" si="12"/>
        <v>4.0916711441241205</v>
      </c>
      <c r="I189">
        <f t="shared" si="13"/>
        <v>33.872674976009876</v>
      </c>
      <c r="J189">
        <f t="shared" si="14"/>
        <v>2.3396432879962958</v>
      </c>
      <c r="K189">
        <f t="shared" si="15"/>
        <v>1.829116627050098</v>
      </c>
      <c r="L189" s="33">
        <f t="shared" si="16"/>
        <v>42.13310603518039</v>
      </c>
    </row>
    <row r="190" spans="3:12" x14ac:dyDescent="0.3">
      <c r="C190">
        <v>80.260209844782366</v>
      </c>
      <c r="D190">
        <v>70.167198095368803</v>
      </c>
      <c r="E190">
        <v>90.69049519879627</v>
      </c>
      <c r="F190">
        <v>129.63139771352871</v>
      </c>
      <c r="H190" s="33">
        <f t="shared" si="12"/>
        <v>5.2041968956473283</v>
      </c>
      <c r="I190">
        <f t="shared" si="13"/>
        <v>3.3439619073760696</v>
      </c>
      <c r="J190">
        <f t="shared" si="14"/>
        <v>13.809903975925408</v>
      </c>
      <c r="K190">
        <f t="shared" si="15"/>
        <v>0.73720457294257358</v>
      </c>
      <c r="L190" s="33">
        <f t="shared" si="16"/>
        <v>23.09526735189138</v>
      </c>
    </row>
    <row r="191" spans="3:12" x14ac:dyDescent="0.3">
      <c r="C191">
        <v>80.41094608604908</v>
      </c>
      <c r="D191">
        <v>70.244966713580652</v>
      </c>
      <c r="E191">
        <v>91.612397682038136</v>
      </c>
      <c r="F191">
        <v>129.08753125055227</v>
      </c>
      <c r="H191" s="33">
        <f t="shared" si="12"/>
        <v>8.2189217209815979</v>
      </c>
      <c r="I191">
        <f t="shared" si="13"/>
        <v>4.8993342716130428</v>
      </c>
      <c r="J191">
        <f t="shared" si="14"/>
        <v>32.247953640762717</v>
      </c>
      <c r="K191">
        <f t="shared" si="15"/>
        <v>1.8249374988954514</v>
      </c>
      <c r="L191" s="33">
        <f t="shared" si="16"/>
        <v>47.191147132252809</v>
      </c>
    </row>
    <row r="192" spans="3:12" x14ac:dyDescent="0.3">
      <c r="C192">
        <v>80.107957021100447</v>
      </c>
      <c r="D192">
        <v>69.633689640177181</v>
      </c>
      <c r="E192">
        <v>88.856167167105014</v>
      </c>
      <c r="F192">
        <v>130.49600430429564</v>
      </c>
      <c r="H192" s="33">
        <f t="shared" si="12"/>
        <v>2.1591404220089316</v>
      </c>
      <c r="I192">
        <f t="shared" si="13"/>
        <v>0.73262071964563802</v>
      </c>
      <c r="J192">
        <f t="shared" si="14"/>
        <v>2.287665665789973</v>
      </c>
      <c r="K192">
        <f t="shared" si="15"/>
        <v>9.9200860859127715</v>
      </c>
      <c r="L192" s="33">
        <f t="shared" si="16"/>
        <v>15.099512893357314</v>
      </c>
    </row>
    <row r="193" spans="3:12" x14ac:dyDescent="0.3">
      <c r="C193">
        <v>80.984189227892784</v>
      </c>
      <c r="D193">
        <v>70.472264218842611</v>
      </c>
      <c r="E193">
        <v>90.582911070523551</v>
      </c>
      <c r="F193">
        <v>130.23213715394377</v>
      </c>
      <c r="H193" s="33">
        <f t="shared" si="12"/>
        <v>19.683784557855688</v>
      </c>
      <c r="I193">
        <f t="shared" si="13"/>
        <v>9.4452843768522143</v>
      </c>
      <c r="J193">
        <f t="shared" si="14"/>
        <v>11.658221410471015</v>
      </c>
      <c r="K193">
        <f t="shared" si="15"/>
        <v>4.6427430788753554</v>
      </c>
      <c r="L193" s="33">
        <f t="shared" si="16"/>
        <v>45.430033424054272</v>
      </c>
    </row>
    <row r="194" spans="3:12" x14ac:dyDescent="0.3">
      <c r="C194">
        <v>79.469437170773745</v>
      </c>
      <c r="D194">
        <v>71.355756467091851</v>
      </c>
      <c r="E194">
        <v>91.043929387378739</v>
      </c>
      <c r="F194">
        <v>131.7818729247665</v>
      </c>
      <c r="H194" s="33">
        <f t="shared" si="12"/>
        <v>1.0611256584525108</v>
      </c>
      <c r="I194">
        <f t="shared" si="13"/>
        <v>27.115129341837019</v>
      </c>
      <c r="J194">
        <f t="shared" si="14"/>
        <v>20.878587747574784</v>
      </c>
      <c r="K194">
        <f t="shared" si="15"/>
        <v>35.637458495330065</v>
      </c>
      <c r="L194" s="33">
        <f t="shared" si="16"/>
        <v>84.692301243194379</v>
      </c>
    </row>
    <row r="195" spans="3:12" x14ac:dyDescent="0.3">
      <c r="C195">
        <v>81.025248366204323</v>
      </c>
      <c r="D195">
        <v>68.289431459852494</v>
      </c>
      <c r="E195">
        <v>89.424328507302562</v>
      </c>
      <c r="F195">
        <v>128.08444044901989</v>
      </c>
      <c r="H195" s="33">
        <f t="shared" si="12"/>
        <v>20.504967324086465</v>
      </c>
      <c r="I195">
        <f t="shared" si="13"/>
        <v>3.4211370802950114</v>
      </c>
      <c r="J195">
        <f t="shared" si="14"/>
        <v>1.1513429853948765</v>
      </c>
      <c r="K195">
        <f t="shared" si="15"/>
        <v>3.831119101960212</v>
      </c>
      <c r="L195" s="33">
        <f t="shared" si="16"/>
        <v>28.908566491736565</v>
      </c>
    </row>
    <row r="196" spans="3:12" x14ac:dyDescent="0.3">
      <c r="C196">
        <v>77.937129592173733</v>
      </c>
      <c r="D196">
        <v>69.664119059161749</v>
      </c>
      <c r="E196">
        <v>89.535248207394034</v>
      </c>
      <c r="F196">
        <v>130.2076853888866</v>
      </c>
      <c r="H196" s="33">
        <f t="shared" si="12"/>
        <v>4.1257408156525344</v>
      </c>
      <c r="I196">
        <f t="shared" si="13"/>
        <v>0.67176188167650253</v>
      </c>
      <c r="J196">
        <f t="shared" si="14"/>
        <v>0.92950358521193266</v>
      </c>
      <c r="K196">
        <f t="shared" si="15"/>
        <v>4.1537077777320519</v>
      </c>
      <c r="L196" s="33">
        <f t="shared" si="16"/>
        <v>9.8807140602730215</v>
      </c>
    </row>
    <row r="197" spans="3:12" x14ac:dyDescent="0.3">
      <c r="C197">
        <v>80.531356363353552</v>
      </c>
      <c r="D197">
        <v>69.05168124314514</v>
      </c>
      <c r="E197">
        <v>89.442202351929154</v>
      </c>
      <c r="F197">
        <v>129.53422502585454</v>
      </c>
      <c r="H197" s="33">
        <f t="shared" si="12"/>
        <v>10.627127267071046</v>
      </c>
      <c r="I197">
        <f t="shared" si="13"/>
        <v>1.8966375137097202</v>
      </c>
      <c r="J197">
        <f t="shared" si="14"/>
        <v>1.1155952961416915</v>
      </c>
      <c r="K197">
        <f t="shared" si="15"/>
        <v>0.93154994829092175</v>
      </c>
      <c r="L197" s="33">
        <f t="shared" si="16"/>
        <v>14.570910025213379</v>
      </c>
    </row>
    <row r="198" spans="3:12" x14ac:dyDescent="0.3">
      <c r="C198">
        <v>80.178147274709772</v>
      </c>
      <c r="D198">
        <v>68.874516222713282</v>
      </c>
      <c r="E198">
        <v>89.769984242448118</v>
      </c>
      <c r="F198">
        <v>129.8586588390026</v>
      </c>
      <c r="H198" s="33">
        <f t="shared" si="12"/>
        <v>3.5629454941954464</v>
      </c>
      <c r="I198">
        <f t="shared" si="13"/>
        <v>2.2509675545734353</v>
      </c>
      <c r="J198">
        <f t="shared" si="14"/>
        <v>0.46003151510376483</v>
      </c>
      <c r="K198">
        <f t="shared" si="15"/>
        <v>0.28268232199479826</v>
      </c>
      <c r="L198" s="33">
        <f t="shared" si="16"/>
        <v>6.5566268858674448</v>
      </c>
    </row>
    <row r="199" spans="3:12" x14ac:dyDescent="0.3">
      <c r="C199">
        <v>79.046269749669591</v>
      </c>
      <c r="D199">
        <v>70.123052359413123</v>
      </c>
      <c r="E199">
        <v>90.412778717873152</v>
      </c>
      <c r="F199">
        <v>131.4474517229246</v>
      </c>
      <c r="H199" s="33">
        <f t="shared" si="12"/>
        <v>1.9074605006608181</v>
      </c>
      <c r="I199">
        <f t="shared" si="13"/>
        <v>2.4610471882624552</v>
      </c>
      <c r="J199">
        <f t="shared" si="14"/>
        <v>8.2555743574630469</v>
      </c>
      <c r="K199">
        <f t="shared" si="15"/>
        <v>28.949034458491951</v>
      </c>
      <c r="L199" s="33">
        <f t="shared" si="16"/>
        <v>41.573116504878271</v>
      </c>
    </row>
    <row r="200" spans="3:12" x14ac:dyDescent="0.3">
      <c r="C200">
        <v>79.734246785010328</v>
      </c>
      <c r="D200">
        <v>70.565410118724685</v>
      </c>
      <c r="E200">
        <v>90.063804463934503</v>
      </c>
      <c r="F200">
        <v>130.9313066584582</v>
      </c>
      <c r="H200" s="33">
        <f t="shared" si="12"/>
        <v>0.53150642997934483</v>
      </c>
      <c r="I200">
        <f t="shared" si="13"/>
        <v>11.308202374493703</v>
      </c>
      <c r="J200">
        <f t="shared" si="14"/>
        <v>1.2760892786900513</v>
      </c>
      <c r="K200">
        <f t="shared" si="15"/>
        <v>18.62613316916395</v>
      </c>
      <c r="L200" s="33">
        <f t="shared" si="16"/>
        <v>31.741931252327049</v>
      </c>
    </row>
    <row r="201" spans="3:12" x14ac:dyDescent="0.3">
      <c r="C201">
        <v>79.29692648947821</v>
      </c>
      <c r="D201">
        <v>70.090583398559829</v>
      </c>
      <c r="E201">
        <v>89.173285232245689</v>
      </c>
      <c r="F201">
        <v>131.25617589219473</v>
      </c>
      <c r="H201" s="33">
        <f t="shared" si="12"/>
        <v>1.40614702104358</v>
      </c>
      <c r="I201">
        <f t="shared" si="13"/>
        <v>1.8116679711965844</v>
      </c>
      <c r="J201">
        <f t="shared" si="14"/>
        <v>1.6534295355086215</v>
      </c>
      <c r="K201">
        <f t="shared" si="15"/>
        <v>25.12351784389466</v>
      </c>
      <c r="L201" s="33">
        <f t="shared" si="16"/>
        <v>29.994762371643446</v>
      </c>
    </row>
    <row r="202" spans="3:12" x14ac:dyDescent="0.3">
      <c r="C202">
        <v>81.109910954255611</v>
      </c>
      <c r="D202">
        <v>71.141920620284509</v>
      </c>
      <c r="E202">
        <v>89.88080162438564</v>
      </c>
      <c r="F202">
        <v>129.96040173755318</v>
      </c>
      <c r="H202" s="33">
        <f t="shared" si="12"/>
        <v>22.198219085112214</v>
      </c>
      <c r="I202">
        <f t="shared" si="13"/>
        <v>22.838412405690178</v>
      </c>
      <c r="J202">
        <f t="shared" si="14"/>
        <v>0.23839675122871995</v>
      </c>
      <c r="K202">
        <f t="shared" si="15"/>
        <v>7.9196524893632159E-2</v>
      </c>
      <c r="L202" s="33">
        <f t="shared" si="16"/>
        <v>45.354224766924744</v>
      </c>
    </row>
    <row r="203" spans="3:12" x14ac:dyDescent="0.3">
      <c r="C203">
        <v>80.928241661313223</v>
      </c>
      <c r="D203">
        <v>70.484874362882692</v>
      </c>
      <c r="E203">
        <v>88.070361471036449</v>
      </c>
      <c r="F203">
        <v>130.03171408025082</v>
      </c>
      <c r="H203" s="33">
        <f t="shared" si="12"/>
        <v>18.564833226264454</v>
      </c>
      <c r="I203">
        <f t="shared" si="13"/>
        <v>9.6974872576538473</v>
      </c>
      <c r="J203">
        <f t="shared" si="14"/>
        <v>3.8592770579271019</v>
      </c>
      <c r="K203">
        <f t="shared" si="15"/>
        <v>0.63428160501644015</v>
      </c>
      <c r="L203" s="33">
        <f t="shared" si="16"/>
        <v>32.755879146861844</v>
      </c>
    </row>
    <row r="204" spans="3:12" x14ac:dyDescent="0.3">
      <c r="C204">
        <v>82.249580575153232</v>
      </c>
      <c r="D204">
        <v>70.183745214599185</v>
      </c>
      <c r="E204">
        <v>89.548756477452116</v>
      </c>
      <c r="F204">
        <v>131.51792846736498</v>
      </c>
      <c r="H204" s="33">
        <f t="shared" si="12"/>
        <v>44.991611503064632</v>
      </c>
      <c r="I204">
        <f t="shared" si="13"/>
        <v>3.6749042919836938</v>
      </c>
      <c r="J204">
        <f t="shared" si="14"/>
        <v>0.90248704509576783</v>
      </c>
      <c r="K204">
        <f t="shared" si="15"/>
        <v>30.358569347299635</v>
      </c>
      <c r="L204" s="33">
        <f t="shared" si="16"/>
        <v>79.927572187443729</v>
      </c>
    </row>
    <row r="205" spans="3:12" x14ac:dyDescent="0.3">
      <c r="C205">
        <v>79.432973254442913</v>
      </c>
      <c r="D205">
        <v>68.266521288314834</v>
      </c>
      <c r="E205">
        <v>91.425769369234331</v>
      </c>
      <c r="F205">
        <v>131.82828443939798</v>
      </c>
      <c r="H205" s="33">
        <f t="shared" si="12"/>
        <v>1.1340534911141731</v>
      </c>
      <c r="I205">
        <f t="shared" si="13"/>
        <v>3.4669574233703315</v>
      </c>
      <c r="J205">
        <f t="shared" si="14"/>
        <v>28.515387384686619</v>
      </c>
      <c r="K205">
        <f t="shared" si="15"/>
        <v>36.565688787959516</v>
      </c>
      <c r="L205" s="33">
        <f t="shared" si="16"/>
        <v>69.68208708713064</v>
      </c>
    </row>
    <row r="206" spans="3:12" x14ac:dyDescent="0.3">
      <c r="C206">
        <v>80.962688773142872</v>
      </c>
      <c r="D206">
        <v>69.833189576747827</v>
      </c>
      <c r="E206">
        <v>89.921162725513568</v>
      </c>
      <c r="F206">
        <v>127.42663931101561</v>
      </c>
      <c r="H206" s="33">
        <f t="shared" si="12"/>
        <v>19.253775462857448</v>
      </c>
      <c r="I206">
        <f t="shared" si="13"/>
        <v>0.33362084650434554</v>
      </c>
      <c r="J206">
        <f t="shared" si="14"/>
        <v>0.1576745489728637</v>
      </c>
      <c r="K206">
        <f t="shared" si="15"/>
        <v>5.1467213779687881</v>
      </c>
      <c r="L206" s="33">
        <f t="shared" si="16"/>
        <v>24.891792236303445</v>
      </c>
    </row>
    <row r="207" spans="3:12" x14ac:dyDescent="0.3">
      <c r="C207">
        <v>81.530147528683301</v>
      </c>
      <c r="D207">
        <v>70.868458300828934</v>
      </c>
      <c r="E207">
        <v>91.088219505618326</v>
      </c>
      <c r="F207">
        <v>131.33365347210201</v>
      </c>
      <c r="H207" s="33">
        <f t="shared" si="12"/>
        <v>30.602950573666021</v>
      </c>
      <c r="I207">
        <f t="shared" si="13"/>
        <v>17.369166016578674</v>
      </c>
      <c r="J207">
        <f t="shared" si="14"/>
        <v>21.764390112366527</v>
      </c>
      <c r="K207">
        <f t="shared" si="15"/>
        <v>26.673069442040287</v>
      </c>
      <c r="L207" s="33">
        <f t="shared" si="16"/>
        <v>96.40957614465151</v>
      </c>
    </row>
    <row r="208" spans="3:12" x14ac:dyDescent="0.3">
      <c r="C208">
        <v>80.509719484398374</v>
      </c>
      <c r="D208">
        <v>70.526604253536789</v>
      </c>
      <c r="E208">
        <v>91.898588379845023</v>
      </c>
      <c r="F208">
        <v>129.73654439600068</v>
      </c>
      <c r="H208" s="33">
        <f t="shared" si="12"/>
        <v>10.194389687967487</v>
      </c>
      <c r="I208">
        <f t="shared" si="13"/>
        <v>10.532085070735775</v>
      </c>
      <c r="J208">
        <f t="shared" si="14"/>
        <v>37.971767596900463</v>
      </c>
      <c r="K208">
        <f t="shared" si="15"/>
        <v>0.52691120799863711</v>
      </c>
      <c r="L208" s="33">
        <f t="shared" si="16"/>
        <v>59.225153563602362</v>
      </c>
    </row>
    <row r="209" spans="3:12" x14ac:dyDescent="0.3">
      <c r="C209">
        <v>80.770724000176415</v>
      </c>
      <c r="D209">
        <v>69.952974576444831</v>
      </c>
      <c r="E209">
        <v>88.923324255883927</v>
      </c>
      <c r="F209">
        <v>128.45032562006963</v>
      </c>
      <c r="H209" s="33">
        <f t="shared" si="12"/>
        <v>15.414480003528297</v>
      </c>
      <c r="I209">
        <f t="shared" si="13"/>
        <v>9.4050847110338509E-2</v>
      </c>
      <c r="J209">
        <f t="shared" si="14"/>
        <v>2.1533514882321469</v>
      </c>
      <c r="K209">
        <f t="shared" si="15"/>
        <v>3.0993487598607317</v>
      </c>
      <c r="L209" s="33">
        <f t="shared" si="16"/>
        <v>20.761231098731514</v>
      </c>
    </row>
    <row r="210" spans="3:12" x14ac:dyDescent="0.3">
      <c r="C210">
        <v>79.239735188893974</v>
      </c>
      <c r="D210">
        <v>70.668810571369249</v>
      </c>
      <c r="E210">
        <v>90.110189830593299</v>
      </c>
      <c r="F210">
        <v>127.97718373883981</v>
      </c>
      <c r="H210" s="33">
        <f t="shared" si="12"/>
        <v>1.5205296222120523</v>
      </c>
      <c r="I210">
        <f t="shared" si="13"/>
        <v>13.376211427384987</v>
      </c>
      <c r="J210">
        <f t="shared" si="14"/>
        <v>2.2037966118659824</v>
      </c>
      <c r="K210">
        <f t="shared" si="15"/>
        <v>4.0456325223203748</v>
      </c>
      <c r="L210" s="33">
        <f t="shared" si="16"/>
        <v>21.146170183783397</v>
      </c>
    </row>
    <row r="211" spans="3:12" x14ac:dyDescent="0.3">
      <c r="C211">
        <v>82.02104274649173</v>
      </c>
      <c r="D211">
        <v>70.393197296943981</v>
      </c>
      <c r="E211">
        <v>91.182502273877617</v>
      </c>
      <c r="F211">
        <v>130.75415073297336</v>
      </c>
      <c r="H211" s="33">
        <f t="shared" si="12"/>
        <v>40.420854929834604</v>
      </c>
      <c r="I211">
        <f t="shared" si="13"/>
        <v>7.863945938879624</v>
      </c>
      <c r="J211">
        <f t="shared" si="14"/>
        <v>23.650045477552339</v>
      </c>
      <c r="K211">
        <f t="shared" si="15"/>
        <v>15.083014659467153</v>
      </c>
      <c r="L211" s="33">
        <f t="shared" si="16"/>
        <v>87.017861005733721</v>
      </c>
    </row>
    <row r="212" spans="3:12" x14ac:dyDescent="0.3">
      <c r="C212">
        <v>79.772888941151905</v>
      </c>
      <c r="D212">
        <v>70.612083113082917</v>
      </c>
      <c r="E212">
        <v>91.175451416202122</v>
      </c>
      <c r="F212">
        <v>130.27797796064988</v>
      </c>
      <c r="H212" s="33">
        <f t="shared" si="12"/>
        <v>0.45422211769619025</v>
      </c>
      <c r="I212">
        <f t="shared" si="13"/>
        <v>12.241662261658348</v>
      </c>
      <c r="J212">
        <f t="shared" si="14"/>
        <v>23.509028324042447</v>
      </c>
      <c r="K212">
        <f t="shared" si="15"/>
        <v>5.5595592129975557</v>
      </c>
      <c r="L212" s="33">
        <f t="shared" si="16"/>
        <v>41.764471916394541</v>
      </c>
    </row>
    <row r="213" spans="3:12" x14ac:dyDescent="0.3">
      <c r="C213">
        <v>80.40313352656085</v>
      </c>
      <c r="D213">
        <v>71.298196821153397</v>
      </c>
      <c r="E213">
        <v>89.732502828919678</v>
      </c>
      <c r="F213">
        <v>129.52764937916072</v>
      </c>
      <c r="H213" s="33">
        <f t="shared" si="12"/>
        <v>8.0626705312170088</v>
      </c>
      <c r="I213">
        <f t="shared" si="13"/>
        <v>25.963936423067935</v>
      </c>
      <c r="J213">
        <f t="shared" si="14"/>
        <v>0.53499434216064401</v>
      </c>
      <c r="K213">
        <f t="shared" si="15"/>
        <v>0.94470124167855829</v>
      </c>
      <c r="L213" s="33">
        <f t="shared" si="16"/>
        <v>35.506302538124146</v>
      </c>
    </row>
    <row r="214" spans="3:12" x14ac:dyDescent="0.3">
      <c r="C214">
        <v>81.286207407247275</v>
      </c>
      <c r="D214">
        <v>69.593295569866314</v>
      </c>
      <c r="E214">
        <v>89.111626038938994</v>
      </c>
      <c r="F214">
        <v>130.16208105080295</v>
      </c>
      <c r="H214" s="33">
        <f t="shared" si="12"/>
        <v>25.724148144945502</v>
      </c>
      <c r="I214">
        <f t="shared" si="13"/>
        <v>0.8134088602673728</v>
      </c>
      <c r="J214">
        <f t="shared" si="14"/>
        <v>1.7767479221220128</v>
      </c>
      <c r="K214">
        <f t="shared" si="15"/>
        <v>3.2416210160590708</v>
      </c>
      <c r="L214" s="33">
        <f t="shared" si="16"/>
        <v>31.555925943393959</v>
      </c>
    </row>
    <row r="215" spans="3:12" x14ac:dyDescent="0.3">
      <c r="C215">
        <v>81.233270268130582</v>
      </c>
      <c r="D215">
        <v>68.921134647389408</v>
      </c>
      <c r="E215">
        <v>90.527484189660754</v>
      </c>
      <c r="F215">
        <v>129.04131527728168</v>
      </c>
      <c r="H215" s="33">
        <f t="shared" ref="H215:H278" si="17">IF(C215&gt;$C$19,(C215-$C$19)*$I$11,($C$19-C215)*$H$11)</f>
        <v>24.665405362611637</v>
      </c>
      <c r="I215">
        <f t="shared" ref="I215:I278" si="18">IF(D215&gt;$D$19,(D215-$D$19)*$I$11,($D$19-D215)*$H$11)</f>
        <v>2.1577307052211836</v>
      </c>
      <c r="J215">
        <f t="shared" ref="J215:J278" si="19">IF(E215&gt;$E$19,(E215-$E$19)*$I$11,($E$19-E215)*$H$11)</f>
        <v>10.549683793215081</v>
      </c>
      <c r="K215">
        <f t="shared" ref="K215:K278" si="20">IF(F215&gt;$F$19,(F215-$F$19)*$I$11,($F$19-F215)*$H$11)</f>
        <v>1.9173694454366341</v>
      </c>
      <c r="L215" s="33">
        <f t="shared" ref="L215:L278" si="21">SUM(H215:K215)</f>
        <v>39.290189306484535</v>
      </c>
    </row>
    <row r="216" spans="3:12" x14ac:dyDescent="0.3">
      <c r="C216">
        <v>79.262518031173386</v>
      </c>
      <c r="D216">
        <v>71.423659341526218</v>
      </c>
      <c r="E216">
        <v>89.429735453304602</v>
      </c>
      <c r="F216">
        <v>129.86506963978172</v>
      </c>
      <c r="H216" s="33">
        <f t="shared" si="17"/>
        <v>1.4749639376532286</v>
      </c>
      <c r="I216">
        <f t="shared" si="18"/>
        <v>28.473186830524355</v>
      </c>
      <c r="J216">
        <f t="shared" si="19"/>
        <v>1.1405290933907963</v>
      </c>
      <c r="K216">
        <f t="shared" si="20"/>
        <v>0.2698607204365544</v>
      </c>
      <c r="L216" s="33">
        <f t="shared" si="21"/>
        <v>31.358540582004935</v>
      </c>
    </row>
    <row r="217" spans="3:12" x14ac:dyDescent="0.3">
      <c r="C217">
        <v>79.591466348647373</v>
      </c>
      <c r="D217">
        <v>71.874996087281033</v>
      </c>
      <c r="E217">
        <v>89.354167812271044</v>
      </c>
      <c r="F217">
        <v>129.96331098373048</v>
      </c>
      <c r="H217" s="33">
        <f t="shared" si="17"/>
        <v>0.81706730270525441</v>
      </c>
      <c r="I217">
        <f t="shared" si="18"/>
        <v>37.499921745620668</v>
      </c>
      <c r="J217">
        <f t="shared" si="19"/>
        <v>1.2916643754579127</v>
      </c>
      <c r="K217">
        <f t="shared" si="20"/>
        <v>7.337803253903985E-2</v>
      </c>
      <c r="L217" s="33">
        <f t="shared" si="21"/>
        <v>39.682031456322875</v>
      </c>
    </row>
    <row r="218" spans="3:12" x14ac:dyDescent="0.3">
      <c r="C218">
        <v>81.575344867887907</v>
      </c>
      <c r="D218">
        <v>69.670828856324079</v>
      </c>
      <c r="E218">
        <v>89.650572135578841</v>
      </c>
      <c r="F218">
        <v>130.92248910732451</v>
      </c>
      <c r="H218" s="33">
        <f t="shared" si="17"/>
        <v>31.506897357758135</v>
      </c>
      <c r="I218">
        <f t="shared" si="18"/>
        <v>0.65834228735184297</v>
      </c>
      <c r="J218">
        <f t="shared" si="19"/>
        <v>0.69885572884231806</v>
      </c>
      <c r="K218">
        <f t="shared" si="20"/>
        <v>18.449782146490179</v>
      </c>
      <c r="L218" s="33">
        <f t="shared" si="21"/>
        <v>51.313877520442475</v>
      </c>
    </row>
    <row r="219" spans="3:12" x14ac:dyDescent="0.3">
      <c r="C219">
        <v>81.164680725196376</v>
      </c>
      <c r="D219">
        <v>71.118307864089729</v>
      </c>
      <c r="E219">
        <v>91.062041974364547</v>
      </c>
      <c r="F219">
        <v>130.66775783125195</v>
      </c>
      <c r="H219" s="33">
        <f t="shared" si="17"/>
        <v>23.293614503927529</v>
      </c>
      <c r="I219">
        <f t="shared" si="18"/>
        <v>22.366157281794585</v>
      </c>
      <c r="J219">
        <f t="shared" si="19"/>
        <v>21.240839487290941</v>
      </c>
      <c r="K219">
        <f t="shared" si="20"/>
        <v>13.355156625038944</v>
      </c>
      <c r="L219" s="33">
        <f t="shared" si="21"/>
        <v>80.255767898052</v>
      </c>
    </row>
    <row r="220" spans="3:12" x14ac:dyDescent="0.3">
      <c r="C220">
        <v>80.62756384977547</v>
      </c>
      <c r="D220">
        <v>70.803256625658832</v>
      </c>
      <c r="E220">
        <v>90.795989762991667</v>
      </c>
      <c r="F220">
        <v>130.75313437264413</v>
      </c>
      <c r="H220" s="33">
        <f t="shared" si="17"/>
        <v>12.551276995509397</v>
      </c>
      <c r="I220">
        <f t="shared" si="18"/>
        <v>16.06513251317665</v>
      </c>
      <c r="J220">
        <f t="shared" si="19"/>
        <v>15.919795259833336</v>
      </c>
      <c r="K220">
        <f t="shared" si="20"/>
        <v>15.062687452882528</v>
      </c>
      <c r="L220" s="33">
        <f t="shared" si="21"/>
        <v>59.598892221401911</v>
      </c>
    </row>
    <row r="221" spans="3:12" x14ac:dyDescent="0.3">
      <c r="C221">
        <v>78.230346136551816</v>
      </c>
      <c r="D221">
        <v>70.636157437838847</v>
      </c>
      <c r="E221">
        <v>90.829948021419114</v>
      </c>
      <c r="F221">
        <v>131.63760432769777</v>
      </c>
      <c r="H221" s="33">
        <f t="shared" si="17"/>
        <v>3.539307726896368</v>
      </c>
      <c r="I221">
        <f t="shared" si="18"/>
        <v>12.723148756776936</v>
      </c>
      <c r="J221">
        <f t="shared" si="19"/>
        <v>16.59896042838227</v>
      </c>
      <c r="K221">
        <f t="shared" si="20"/>
        <v>32.752086553955451</v>
      </c>
      <c r="L221" s="33">
        <f t="shared" si="21"/>
        <v>65.613503466011025</v>
      </c>
    </row>
    <row r="222" spans="3:12" x14ac:dyDescent="0.3">
      <c r="C222">
        <v>79.773124272905989</v>
      </c>
      <c r="D222">
        <v>69.779556674184278</v>
      </c>
      <c r="E222">
        <v>90.745740180718713</v>
      </c>
      <c r="F222">
        <v>129.00193415669492</v>
      </c>
      <c r="H222" s="33">
        <f t="shared" si="17"/>
        <v>0.45375145418802276</v>
      </c>
      <c r="I222">
        <f t="shared" si="18"/>
        <v>0.44088665163144469</v>
      </c>
      <c r="J222">
        <f t="shared" si="19"/>
        <v>14.91480361437425</v>
      </c>
      <c r="K222">
        <f t="shared" si="20"/>
        <v>1.9961316866101697</v>
      </c>
      <c r="L222" s="33">
        <f t="shared" si="21"/>
        <v>17.805573406803887</v>
      </c>
    </row>
    <row r="223" spans="3:12" x14ac:dyDescent="0.3">
      <c r="C223">
        <v>79.260307959048077</v>
      </c>
      <c r="D223">
        <v>69.650408426532522</v>
      </c>
      <c r="E223">
        <v>88.668204170826357</v>
      </c>
      <c r="F223">
        <v>129.56731357997342</v>
      </c>
      <c r="H223" s="33">
        <f t="shared" si="17"/>
        <v>1.4793840819038451</v>
      </c>
      <c r="I223">
        <f t="shared" si="18"/>
        <v>0.69918314693495631</v>
      </c>
      <c r="J223">
        <f t="shared" si="19"/>
        <v>2.6635916583472863</v>
      </c>
      <c r="K223">
        <f t="shared" si="20"/>
        <v>0.86537284005316906</v>
      </c>
      <c r="L223" s="33">
        <f t="shared" si="21"/>
        <v>5.7075317272392567</v>
      </c>
    </row>
    <row r="224" spans="3:12" x14ac:dyDescent="0.3">
      <c r="C224">
        <v>78.81564917814103</v>
      </c>
      <c r="D224">
        <v>69.920241862128023</v>
      </c>
      <c r="E224">
        <v>88.819957909290679</v>
      </c>
      <c r="F224">
        <v>131.17850959213683</v>
      </c>
      <c r="H224" s="33">
        <f t="shared" si="17"/>
        <v>2.3687016437179409</v>
      </c>
      <c r="I224">
        <f t="shared" si="18"/>
        <v>0.15951627574395388</v>
      </c>
      <c r="J224">
        <f t="shared" si="19"/>
        <v>2.3600841814186424</v>
      </c>
      <c r="K224">
        <f t="shared" si="20"/>
        <v>23.570191842736676</v>
      </c>
      <c r="L224" s="33">
        <f t="shared" si="21"/>
        <v>28.458493943617214</v>
      </c>
    </row>
    <row r="225" spans="3:12" x14ac:dyDescent="0.3">
      <c r="C225">
        <v>79.891426796239102</v>
      </c>
      <c r="D225">
        <v>68.878543010505382</v>
      </c>
      <c r="E225">
        <v>89.77994775690604</v>
      </c>
      <c r="F225">
        <v>128.6991338118969</v>
      </c>
      <c r="H225" s="33">
        <f t="shared" si="17"/>
        <v>0.21714640752179548</v>
      </c>
      <c r="I225">
        <f t="shared" si="18"/>
        <v>2.2429139789892361</v>
      </c>
      <c r="J225">
        <f t="shared" si="19"/>
        <v>0.44010448618791997</v>
      </c>
      <c r="K225">
        <f t="shared" si="20"/>
        <v>2.6017323762062006</v>
      </c>
      <c r="L225" s="33">
        <f t="shared" si="21"/>
        <v>5.5018972489051521</v>
      </c>
    </row>
    <row r="226" spans="3:12" x14ac:dyDescent="0.3">
      <c r="C226">
        <v>80.827468511488405</v>
      </c>
      <c r="D226">
        <v>69.039982867543586</v>
      </c>
      <c r="E226">
        <v>91.289363353862427</v>
      </c>
      <c r="F226">
        <v>129.04783635429339</v>
      </c>
      <c r="H226" s="33">
        <f t="shared" si="17"/>
        <v>16.549370229768101</v>
      </c>
      <c r="I226">
        <f t="shared" si="18"/>
        <v>1.9200342649128288</v>
      </c>
      <c r="J226">
        <f t="shared" si="19"/>
        <v>25.787267077248544</v>
      </c>
      <c r="K226">
        <f t="shared" si="20"/>
        <v>1.9043272914132103</v>
      </c>
      <c r="L226" s="33">
        <f t="shared" si="21"/>
        <v>46.160998863342684</v>
      </c>
    </row>
    <row r="227" spans="3:12" x14ac:dyDescent="0.3">
      <c r="C227">
        <v>78.789326127734967</v>
      </c>
      <c r="D227">
        <v>70.260367869486799</v>
      </c>
      <c r="E227">
        <v>89.551549763054936</v>
      </c>
      <c r="F227">
        <v>129.68661768434686</v>
      </c>
      <c r="H227" s="33">
        <f t="shared" si="17"/>
        <v>2.4213477445300668</v>
      </c>
      <c r="I227">
        <f t="shared" si="18"/>
        <v>5.2073573897359893</v>
      </c>
      <c r="J227">
        <f t="shared" si="19"/>
        <v>0.89690047389012761</v>
      </c>
      <c r="K227">
        <f t="shared" si="20"/>
        <v>0.6267646313062869</v>
      </c>
      <c r="L227" s="33">
        <f t="shared" si="21"/>
        <v>9.1523702394624706</v>
      </c>
    </row>
    <row r="228" spans="3:12" x14ac:dyDescent="0.3">
      <c r="C228">
        <v>79.8951193447283</v>
      </c>
      <c r="D228">
        <v>69.437459337059408</v>
      </c>
      <c r="E228">
        <v>91.141188477049582</v>
      </c>
      <c r="F228">
        <v>129.13555029706913</v>
      </c>
      <c r="H228" s="33">
        <f t="shared" si="17"/>
        <v>0.2097613105433993</v>
      </c>
      <c r="I228">
        <f t="shared" si="18"/>
        <v>1.1250813258811831</v>
      </c>
      <c r="J228">
        <f t="shared" si="19"/>
        <v>22.823769540991634</v>
      </c>
      <c r="K228">
        <f t="shared" si="20"/>
        <v>1.7288994058617391</v>
      </c>
      <c r="L228" s="33">
        <f t="shared" si="21"/>
        <v>25.887511583277956</v>
      </c>
    </row>
    <row r="229" spans="3:12" x14ac:dyDescent="0.3">
      <c r="C229">
        <v>78.887392393953633</v>
      </c>
      <c r="D229">
        <v>71.252649326488608</v>
      </c>
      <c r="E229">
        <v>90.768975496612256</v>
      </c>
      <c r="F229">
        <v>130.75374373409431</v>
      </c>
      <c r="H229" s="33">
        <f t="shared" si="17"/>
        <v>2.2252152120927349</v>
      </c>
      <c r="I229">
        <f t="shared" si="18"/>
        <v>25.05298652977217</v>
      </c>
      <c r="J229">
        <f t="shared" si="19"/>
        <v>15.379509932245128</v>
      </c>
      <c r="K229">
        <f t="shared" si="20"/>
        <v>15.074874681886286</v>
      </c>
      <c r="L229" s="33">
        <f t="shared" si="21"/>
        <v>57.732586355996318</v>
      </c>
    </row>
    <row r="230" spans="3:12" x14ac:dyDescent="0.3">
      <c r="C230">
        <v>80.468419329990866</v>
      </c>
      <c r="D230">
        <v>70.606372623224161</v>
      </c>
      <c r="E230">
        <v>91.217067620018497</v>
      </c>
      <c r="F230">
        <v>129.80160737322876</v>
      </c>
      <c r="H230" s="33">
        <f t="shared" si="17"/>
        <v>9.3683865998173133</v>
      </c>
      <c r="I230">
        <f t="shared" si="18"/>
        <v>12.127452464483213</v>
      </c>
      <c r="J230">
        <f t="shared" si="19"/>
        <v>24.341352400369942</v>
      </c>
      <c r="K230">
        <f t="shared" si="20"/>
        <v>0.3967852535424754</v>
      </c>
      <c r="L230" s="33">
        <f t="shared" si="21"/>
        <v>46.233976718212944</v>
      </c>
    </row>
    <row r="231" spans="3:12" x14ac:dyDescent="0.3">
      <c r="C231">
        <v>80.570894371776376</v>
      </c>
      <c r="D231">
        <v>71.008825165627059</v>
      </c>
      <c r="E231">
        <v>89.152871623664396</v>
      </c>
      <c r="F231">
        <v>129.66023096931167</v>
      </c>
      <c r="H231" s="33">
        <f t="shared" si="17"/>
        <v>11.417887435527518</v>
      </c>
      <c r="I231">
        <f t="shared" si="18"/>
        <v>20.176503312541172</v>
      </c>
      <c r="J231">
        <f t="shared" si="19"/>
        <v>1.6942567526712082</v>
      </c>
      <c r="K231">
        <f t="shared" si="20"/>
        <v>0.67953806137666106</v>
      </c>
      <c r="L231" s="33">
        <f t="shared" si="21"/>
        <v>33.96818556211656</v>
      </c>
    </row>
    <row r="232" spans="3:12" x14ac:dyDescent="0.3">
      <c r="C232">
        <v>81.280282049265224</v>
      </c>
      <c r="D232">
        <v>69.737019606982358</v>
      </c>
      <c r="E232">
        <v>89.996059614204569</v>
      </c>
      <c r="F232">
        <v>129.18901039563934</v>
      </c>
      <c r="H232" s="33">
        <f t="shared" si="17"/>
        <v>25.60564098530449</v>
      </c>
      <c r="I232">
        <f t="shared" si="18"/>
        <v>0.5259607860352844</v>
      </c>
      <c r="J232">
        <f t="shared" si="19"/>
        <v>7.8807715908624232E-3</v>
      </c>
      <c r="K232">
        <f t="shared" si="20"/>
        <v>1.6219792087213136</v>
      </c>
      <c r="L232" s="33">
        <f t="shared" si="21"/>
        <v>27.76146175165195</v>
      </c>
    </row>
    <row r="233" spans="3:12" x14ac:dyDescent="0.3">
      <c r="C233">
        <v>77.375089151319116</v>
      </c>
      <c r="D233">
        <v>69.498538727493724</v>
      </c>
      <c r="E233">
        <v>91.944617906701751</v>
      </c>
      <c r="F233">
        <v>128.89966829869081</v>
      </c>
      <c r="H233" s="33">
        <f t="shared" si="17"/>
        <v>5.2498216973617673</v>
      </c>
      <c r="I233">
        <f t="shared" si="18"/>
        <v>1.0029225450125523</v>
      </c>
      <c r="J233">
        <f t="shared" si="19"/>
        <v>38.892358134035021</v>
      </c>
      <c r="K233">
        <f t="shared" si="20"/>
        <v>2.2006634026183747</v>
      </c>
      <c r="L233" s="33">
        <f t="shared" si="21"/>
        <v>47.345765779027715</v>
      </c>
    </row>
    <row r="234" spans="3:12" x14ac:dyDescent="0.3">
      <c r="C234">
        <v>80.348209141520783</v>
      </c>
      <c r="D234">
        <v>70.138019231599174</v>
      </c>
      <c r="E234">
        <v>90.573957095184596</v>
      </c>
      <c r="F234">
        <v>128.19560343894409</v>
      </c>
      <c r="H234" s="33">
        <f t="shared" si="17"/>
        <v>6.9641828304156661</v>
      </c>
      <c r="I234">
        <f t="shared" si="18"/>
        <v>2.7603846319834702</v>
      </c>
      <c r="J234">
        <f t="shared" si="19"/>
        <v>11.479141903691925</v>
      </c>
      <c r="K234">
        <f t="shared" si="20"/>
        <v>3.6087931221118197</v>
      </c>
      <c r="L234" s="33">
        <f t="shared" si="21"/>
        <v>24.812502488202881</v>
      </c>
    </row>
    <row r="235" spans="3:12" x14ac:dyDescent="0.3">
      <c r="C235">
        <v>80.42204192141071</v>
      </c>
      <c r="D235">
        <v>69.445149114762899</v>
      </c>
      <c r="E235">
        <v>90.226248175749788</v>
      </c>
      <c r="F235">
        <v>130.47731646191096</v>
      </c>
      <c r="H235" s="33">
        <f t="shared" si="17"/>
        <v>8.4408384282141924</v>
      </c>
      <c r="I235">
        <f t="shared" si="18"/>
        <v>1.1097017704742029</v>
      </c>
      <c r="J235">
        <f t="shared" si="19"/>
        <v>4.5249635149957612</v>
      </c>
      <c r="K235">
        <f t="shared" si="20"/>
        <v>9.5463292382191867</v>
      </c>
      <c r="L235" s="33">
        <f t="shared" si="21"/>
        <v>23.621832951903343</v>
      </c>
    </row>
    <row r="236" spans="3:12" x14ac:dyDescent="0.3">
      <c r="C236">
        <v>78.193261490087025</v>
      </c>
      <c r="D236">
        <v>71.259213604498655</v>
      </c>
      <c r="E236">
        <v>89.575614992863848</v>
      </c>
      <c r="F236">
        <v>128.05891093274113</v>
      </c>
      <c r="H236" s="33">
        <f t="shared" si="17"/>
        <v>3.6134770198259503</v>
      </c>
      <c r="I236">
        <f t="shared" si="18"/>
        <v>25.184272089973092</v>
      </c>
      <c r="J236">
        <f t="shared" si="19"/>
        <v>0.84877001427230425</v>
      </c>
      <c r="K236">
        <f t="shared" si="20"/>
        <v>3.8821781345177442</v>
      </c>
      <c r="L236" s="33">
        <f t="shared" si="21"/>
        <v>33.528697258589091</v>
      </c>
    </row>
    <row r="237" spans="3:12" x14ac:dyDescent="0.3">
      <c r="C237">
        <v>79.724168446846306</v>
      </c>
      <c r="D237">
        <v>69.843420255274395</v>
      </c>
      <c r="E237">
        <v>90.009447376214666</v>
      </c>
      <c r="F237">
        <v>130.38733560359105</v>
      </c>
      <c r="H237" s="33">
        <f t="shared" si="17"/>
        <v>0.55166310630738735</v>
      </c>
      <c r="I237">
        <f t="shared" si="18"/>
        <v>0.31315948945120908</v>
      </c>
      <c r="J237">
        <f t="shared" si="19"/>
        <v>0.18894752429332584</v>
      </c>
      <c r="K237">
        <f t="shared" si="20"/>
        <v>7.7467120718210936</v>
      </c>
      <c r="L237" s="33">
        <f t="shared" si="21"/>
        <v>8.8004821918730158</v>
      </c>
    </row>
    <row r="238" spans="3:12" x14ac:dyDescent="0.3">
      <c r="C238">
        <v>81.329199221800081</v>
      </c>
      <c r="D238">
        <v>71.040768893290078</v>
      </c>
      <c r="E238">
        <v>90.795882897364208</v>
      </c>
      <c r="F238">
        <v>130.78970288086566</v>
      </c>
      <c r="H238" s="33">
        <f t="shared" si="17"/>
        <v>26.583984436001629</v>
      </c>
      <c r="I238">
        <f t="shared" si="18"/>
        <v>20.815377865801565</v>
      </c>
      <c r="J238">
        <f t="shared" si="19"/>
        <v>15.917657947284169</v>
      </c>
      <c r="K238">
        <f t="shared" si="20"/>
        <v>15.794057617313229</v>
      </c>
      <c r="L238" s="33">
        <f t="shared" si="21"/>
        <v>79.111077866400592</v>
      </c>
    </row>
    <row r="239" spans="3:12" x14ac:dyDescent="0.3">
      <c r="C239">
        <v>78.750029135408113</v>
      </c>
      <c r="D239">
        <v>70.326667759509291</v>
      </c>
      <c r="E239">
        <v>88.38253188499948</v>
      </c>
      <c r="F239">
        <v>131.73107764567249</v>
      </c>
      <c r="H239" s="33">
        <f t="shared" si="17"/>
        <v>2.4999417291837744</v>
      </c>
      <c r="I239">
        <f t="shared" si="18"/>
        <v>6.53335519018583</v>
      </c>
      <c r="J239">
        <f t="shared" si="19"/>
        <v>3.2349362300010398</v>
      </c>
      <c r="K239">
        <f t="shared" si="20"/>
        <v>34.621552913449705</v>
      </c>
      <c r="L239" s="33">
        <f t="shared" si="21"/>
        <v>46.889786062820349</v>
      </c>
    </row>
    <row r="240" spans="3:12" x14ac:dyDescent="0.3">
      <c r="C240">
        <v>79.37206439426518</v>
      </c>
      <c r="D240">
        <v>69.614889247823157</v>
      </c>
      <c r="E240">
        <v>91.9533126760507</v>
      </c>
      <c r="F240">
        <v>129.76393155520782</v>
      </c>
      <c r="H240" s="33">
        <f t="shared" si="17"/>
        <v>1.2558712114696391</v>
      </c>
      <c r="I240">
        <f t="shared" si="18"/>
        <v>0.7702215043536853</v>
      </c>
      <c r="J240">
        <f t="shared" si="19"/>
        <v>39.066253521014005</v>
      </c>
      <c r="K240">
        <f t="shared" si="20"/>
        <v>0.47213688958436251</v>
      </c>
      <c r="L240" s="33">
        <f t="shared" si="21"/>
        <v>41.564483126421692</v>
      </c>
    </row>
    <row r="241" spans="3:12" x14ac:dyDescent="0.3">
      <c r="C241">
        <v>78.291741576394998</v>
      </c>
      <c r="D241">
        <v>69.212905095191672</v>
      </c>
      <c r="E241">
        <v>89.623032636009157</v>
      </c>
      <c r="F241">
        <v>130.17022443898895</v>
      </c>
      <c r="H241" s="33">
        <f t="shared" si="17"/>
        <v>3.4165168472100049</v>
      </c>
      <c r="I241">
        <f t="shared" si="18"/>
        <v>1.5741898096166551</v>
      </c>
      <c r="J241">
        <f t="shared" si="19"/>
        <v>0.75393472798168659</v>
      </c>
      <c r="K241">
        <f t="shared" si="20"/>
        <v>3.4044887797790579</v>
      </c>
      <c r="L241" s="33">
        <f t="shared" si="21"/>
        <v>9.1491301645874046</v>
      </c>
    </row>
    <row r="242" spans="3:12" x14ac:dyDescent="0.3">
      <c r="C242">
        <v>81.266175786440726</v>
      </c>
      <c r="D242">
        <v>69.877411482884781</v>
      </c>
      <c r="E242">
        <v>89.694401822125656</v>
      </c>
      <c r="F242">
        <v>130.98456212072051</v>
      </c>
      <c r="H242" s="33">
        <f t="shared" si="17"/>
        <v>25.323515728814527</v>
      </c>
      <c r="I242">
        <f t="shared" si="18"/>
        <v>0.24517703423043713</v>
      </c>
      <c r="J242">
        <f t="shared" si="19"/>
        <v>0.6111963557486888</v>
      </c>
      <c r="K242">
        <f t="shared" si="20"/>
        <v>19.691242414410226</v>
      </c>
      <c r="L242" s="33">
        <f t="shared" si="21"/>
        <v>45.871131533203879</v>
      </c>
    </row>
    <row r="243" spans="3:12" x14ac:dyDescent="0.3">
      <c r="C243">
        <v>79.710873908043141</v>
      </c>
      <c r="D243">
        <v>71.825442268454935</v>
      </c>
      <c r="E243">
        <v>90.081445250543766</v>
      </c>
      <c r="F243">
        <v>129.8914267962391</v>
      </c>
      <c r="H243" s="33">
        <f t="shared" si="17"/>
        <v>0.57825218391371891</v>
      </c>
      <c r="I243">
        <f t="shared" si="18"/>
        <v>36.508845369098708</v>
      </c>
      <c r="J243">
        <f t="shared" si="19"/>
        <v>1.6289050108753145</v>
      </c>
      <c r="K243">
        <f t="shared" si="20"/>
        <v>0.21714640752179548</v>
      </c>
      <c r="L243" s="33">
        <f t="shared" si="21"/>
        <v>38.933148971409537</v>
      </c>
    </row>
    <row r="244" spans="3:12" x14ac:dyDescent="0.3">
      <c r="C244">
        <v>79.785900399729144</v>
      </c>
      <c r="D244">
        <v>68.729722392454278</v>
      </c>
      <c r="E244">
        <v>90.568734321859665</v>
      </c>
      <c r="F244">
        <v>130.67619566834765</v>
      </c>
      <c r="H244" s="33">
        <f t="shared" si="17"/>
        <v>0.42819920054171234</v>
      </c>
      <c r="I244">
        <f t="shared" si="18"/>
        <v>2.5405552150914446</v>
      </c>
      <c r="J244">
        <f t="shared" si="19"/>
        <v>11.374686437193304</v>
      </c>
      <c r="K244">
        <f t="shared" si="20"/>
        <v>13.523913366952911</v>
      </c>
      <c r="L244" s="33">
        <f t="shared" si="21"/>
        <v>27.867354219779372</v>
      </c>
    </row>
    <row r="245" spans="3:12" x14ac:dyDescent="0.3">
      <c r="C245">
        <v>79.768255065646372</v>
      </c>
      <c r="D245">
        <v>68.810387751291273</v>
      </c>
      <c r="E245">
        <v>90.607017227594042</v>
      </c>
      <c r="F245">
        <v>130.24898895389924</v>
      </c>
      <c r="H245" s="33">
        <f t="shared" si="17"/>
        <v>0.46348986870725639</v>
      </c>
      <c r="I245">
        <f t="shared" si="18"/>
        <v>2.3792244974174537</v>
      </c>
      <c r="J245">
        <f t="shared" si="19"/>
        <v>12.140344551880844</v>
      </c>
      <c r="K245">
        <f t="shared" si="20"/>
        <v>4.9797790779848583</v>
      </c>
      <c r="L245" s="33">
        <f t="shared" si="21"/>
        <v>19.962837995990412</v>
      </c>
    </row>
    <row r="246" spans="3:12" x14ac:dyDescent="0.3">
      <c r="C246">
        <v>82.171309461118653</v>
      </c>
      <c r="D246">
        <v>71.337573394266656</v>
      </c>
      <c r="E246">
        <v>88.447010511881672</v>
      </c>
      <c r="F246">
        <v>130.90911044026143</v>
      </c>
      <c r="H246" s="33">
        <f t="shared" si="17"/>
        <v>43.426189222373068</v>
      </c>
      <c r="I246">
        <f t="shared" si="18"/>
        <v>26.751467885333113</v>
      </c>
      <c r="J246">
        <f t="shared" si="19"/>
        <v>3.1059789762366563</v>
      </c>
      <c r="K246">
        <f t="shared" si="20"/>
        <v>18.182208805228584</v>
      </c>
      <c r="L246" s="33">
        <f t="shared" si="21"/>
        <v>91.465844889171422</v>
      </c>
    </row>
    <row r="247" spans="3:12" x14ac:dyDescent="0.3">
      <c r="C247">
        <v>80.517750322615029</v>
      </c>
      <c r="D247">
        <v>69.153310454858001</v>
      </c>
      <c r="E247">
        <v>89.444257809955161</v>
      </c>
      <c r="F247">
        <v>130.03998138708994</v>
      </c>
      <c r="H247" s="33">
        <f t="shared" si="17"/>
        <v>10.355006452300586</v>
      </c>
      <c r="I247">
        <f t="shared" si="18"/>
        <v>1.6933790902839974</v>
      </c>
      <c r="J247">
        <f t="shared" si="19"/>
        <v>1.1114843800896779</v>
      </c>
      <c r="K247">
        <f t="shared" si="20"/>
        <v>0.79962774179875851</v>
      </c>
      <c r="L247" s="33">
        <f t="shared" si="21"/>
        <v>13.95949766447302</v>
      </c>
    </row>
    <row r="248" spans="3:12" x14ac:dyDescent="0.3">
      <c r="C248">
        <v>79.745167542641866</v>
      </c>
      <c r="D248">
        <v>69.46140633255709</v>
      </c>
      <c r="E248">
        <v>89.781672386234277</v>
      </c>
      <c r="F248">
        <v>131.3185399438953</v>
      </c>
      <c r="H248" s="33">
        <f t="shared" si="17"/>
        <v>0.50966491471626796</v>
      </c>
      <c r="I248">
        <f t="shared" si="18"/>
        <v>1.0771873348858207</v>
      </c>
      <c r="J248">
        <f t="shared" si="19"/>
        <v>0.43665522753144614</v>
      </c>
      <c r="K248">
        <f t="shared" si="20"/>
        <v>26.370798877906054</v>
      </c>
      <c r="L248" s="33">
        <f t="shared" si="21"/>
        <v>28.394306355039589</v>
      </c>
    </row>
    <row r="249" spans="3:12" x14ac:dyDescent="0.3">
      <c r="C249">
        <v>80.747356807551114</v>
      </c>
      <c r="D249">
        <v>70.602974523644662</v>
      </c>
      <c r="E249">
        <v>90.366883341484936</v>
      </c>
      <c r="F249">
        <v>128.81100848142523</v>
      </c>
      <c r="H249" s="33">
        <f t="shared" si="17"/>
        <v>14.947136151022278</v>
      </c>
      <c r="I249">
        <f t="shared" si="18"/>
        <v>12.059490472893231</v>
      </c>
      <c r="J249">
        <f t="shared" si="19"/>
        <v>7.3376668296987191</v>
      </c>
      <c r="K249">
        <f t="shared" si="20"/>
        <v>2.3779830371495336</v>
      </c>
      <c r="L249" s="33">
        <f t="shared" si="21"/>
        <v>36.722276490763761</v>
      </c>
    </row>
    <row r="250" spans="3:12" x14ac:dyDescent="0.3">
      <c r="C250">
        <v>80.598759015701944</v>
      </c>
      <c r="D250">
        <v>71.476860234106425</v>
      </c>
      <c r="E250">
        <v>90.091965830506524</v>
      </c>
      <c r="F250">
        <v>129.59736328491999</v>
      </c>
      <c r="H250" s="33">
        <f t="shared" si="17"/>
        <v>11.97518031403888</v>
      </c>
      <c r="I250">
        <f t="shared" si="18"/>
        <v>29.537204682128504</v>
      </c>
      <c r="J250">
        <f t="shared" si="19"/>
        <v>1.8393166101304814</v>
      </c>
      <c r="K250">
        <f t="shared" si="20"/>
        <v>0.80527343016001396</v>
      </c>
      <c r="L250" s="33">
        <f t="shared" si="21"/>
        <v>44.156975036457879</v>
      </c>
    </row>
    <row r="251" spans="3:12" x14ac:dyDescent="0.3">
      <c r="C251">
        <v>80.327959241985809</v>
      </c>
      <c r="D251">
        <v>69.588054606647347</v>
      </c>
      <c r="E251">
        <v>89.847059370949864</v>
      </c>
      <c r="F251">
        <v>130.17931256479642</v>
      </c>
      <c r="H251" s="33">
        <f t="shared" si="17"/>
        <v>6.5591848397161812</v>
      </c>
      <c r="I251">
        <f t="shared" si="18"/>
        <v>0.8238907867053058</v>
      </c>
      <c r="J251">
        <f t="shared" si="19"/>
        <v>0.30588125810027122</v>
      </c>
      <c r="K251">
        <f t="shared" si="20"/>
        <v>3.5862512959283777</v>
      </c>
      <c r="L251" s="33">
        <f t="shared" si="21"/>
        <v>11.275208180450136</v>
      </c>
    </row>
    <row r="252" spans="3:12" x14ac:dyDescent="0.3">
      <c r="C252">
        <v>79.160078232307569</v>
      </c>
      <c r="D252">
        <v>67.323830029927194</v>
      </c>
      <c r="E252">
        <v>89.983590441843262</v>
      </c>
      <c r="F252">
        <v>129.2175889929058</v>
      </c>
      <c r="H252" s="33">
        <f t="shared" si="17"/>
        <v>1.6798435353848618</v>
      </c>
      <c r="I252">
        <f t="shared" si="18"/>
        <v>5.3523399401456118</v>
      </c>
      <c r="J252">
        <f t="shared" si="19"/>
        <v>3.2819116313476115E-2</v>
      </c>
      <c r="K252">
        <f t="shared" si="20"/>
        <v>1.564822014188394</v>
      </c>
      <c r="L252" s="33">
        <f t="shared" si="21"/>
        <v>8.6298246060323436</v>
      </c>
    </row>
    <row r="253" spans="3:12" x14ac:dyDescent="0.3">
      <c r="C253">
        <v>79.85448539518984</v>
      </c>
      <c r="D253">
        <v>71.854114088928327</v>
      </c>
      <c r="E253">
        <v>87.705999703612179</v>
      </c>
      <c r="F253">
        <v>130.38239249988692</v>
      </c>
      <c r="H253" s="33">
        <f t="shared" si="17"/>
        <v>0.29102920962031931</v>
      </c>
      <c r="I253">
        <f t="shared" si="18"/>
        <v>37.082281778566539</v>
      </c>
      <c r="J253">
        <f t="shared" si="19"/>
        <v>4.5880005927756429</v>
      </c>
      <c r="K253">
        <f t="shared" si="20"/>
        <v>7.6478499977383763</v>
      </c>
      <c r="L253" s="33">
        <f t="shared" si="21"/>
        <v>49.609161578700878</v>
      </c>
    </row>
    <row r="254" spans="3:12" x14ac:dyDescent="0.3">
      <c r="C254">
        <v>81.535845512989908</v>
      </c>
      <c r="D254">
        <v>70.845595877763117</v>
      </c>
      <c r="E254">
        <v>87.931317921029404</v>
      </c>
      <c r="F254">
        <v>130.46739501158299</v>
      </c>
      <c r="H254" s="33">
        <f t="shared" si="17"/>
        <v>30.716910259798169</v>
      </c>
      <c r="I254">
        <f t="shared" si="18"/>
        <v>16.911917555262335</v>
      </c>
      <c r="J254">
        <f t="shared" si="19"/>
        <v>4.1373641579411924</v>
      </c>
      <c r="K254">
        <f t="shared" si="20"/>
        <v>9.347900231659878</v>
      </c>
      <c r="L254" s="33">
        <f t="shared" si="21"/>
        <v>61.114092204661574</v>
      </c>
    </row>
    <row r="255" spans="3:12" x14ac:dyDescent="0.3">
      <c r="C255">
        <v>77.66361725050956</v>
      </c>
      <c r="D255">
        <v>71.03565525932936</v>
      </c>
      <c r="E255">
        <v>87.626910044346005</v>
      </c>
      <c r="F255">
        <v>130.84767634689342</v>
      </c>
      <c r="H255" s="33">
        <f t="shared" si="17"/>
        <v>4.6727654989808798</v>
      </c>
      <c r="I255">
        <f t="shared" si="18"/>
        <v>20.7131051865872</v>
      </c>
      <c r="J255">
        <f t="shared" si="19"/>
        <v>4.7461799113079906</v>
      </c>
      <c r="K255">
        <f t="shared" si="20"/>
        <v>16.953526937868446</v>
      </c>
      <c r="L255" s="33">
        <f t="shared" si="21"/>
        <v>47.085577534744516</v>
      </c>
    </row>
    <row r="256" spans="3:12" x14ac:dyDescent="0.3">
      <c r="C256">
        <v>81.714879545033909</v>
      </c>
      <c r="D256">
        <v>69.701208253100049</v>
      </c>
      <c r="E256">
        <v>89.761413391752285</v>
      </c>
      <c r="F256">
        <v>130.54656993597746</v>
      </c>
      <c r="H256" s="33">
        <f t="shared" si="17"/>
        <v>34.297590900678188</v>
      </c>
      <c r="I256">
        <f t="shared" si="18"/>
        <v>0.5975834937999025</v>
      </c>
      <c r="J256">
        <f t="shared" si="19"/>
        <v>0.4771732164954301</v>
      </c>
      <c r="K256">
        <f t="shared" si="20"/>
        <v>10.931398719549179</v>
      </c>
      <c r="L256" s="33">
        <f t="shared" si="21"/>
        <v>46.303746330522699</v>
      </c>
    </row>
    <row r="257" spans="3:12" x14ac:dyDescent="0.3">
      <c r="C257">
        <v>80.273925024885102</v>
      </c>
      <c r="D257">
        <v>69.42387603368843</v>
      </c>
      <c r="E257">
        <v>89.719557308708318</v>
      </c>
      <c r="F257">
        <v>131.46803813549923</v>
      </c>
      <c r="H257" s="33">
        <f t="shared" si="17"/>
        <v>5.4785004977020435</v>
      </c>
      <c r="I257">
        <f t="shared" si="18"/>
        <v>1.1522479326231405</v>
      </c>
      <c r="J257">
        <f t="shared" si="19"/>
        <v>0.56088538258336484</v>
      </c>
      <c r="K257">
        <f t="shared" si="20"/>
        <v>29.360762709984556</v>
      </c>
      <c r="L257" s="33">
        <f t="shared" si="21"/>
        <v>36.552396522893105</v>
      </c>
    </row>
    <row r="258" spans="3:12" x14ac:dyDescent="0.3">
      <c r="C258">
        <v>80.618090325588128</v>
      </c>
      <c r="D258">
        <v>72.17781234823633</v>
      </c>
      <c r="E258">
        <v>90.257441570283845</v>
      </c>
      <c r="F258">
        <v>130.48797346607898</v>
      </c>
      <c r="H258" s="33">
        <f t="shared" si="17"/>
        <v>12.361806511762552</v>
      </c>
      <c r="I258">
        <f t="shared" si="18"/>
        <v>43.556246964726597</v>
      </c>
      <c r="J258">
        <f t="shared" si="19"/>
        <v>5.1488314056769013</v>
      </c>
      <c r="K258">
        <f t="shared" si="20"/>
        <v>9.7594693215796724</v>
      </c>
      <c r="L258" s="33">
        <f t="shared" si="21"/>
        <v>70.826354203745723</v>
      </c>
    </row>
    <row r="259" spans="3:12" x14ac:dyDescent="0.3">
      <c r="C259">
        <v>81.827470441639889</v>
      </c>
      <c r="D259">
        <v>69.954505938148941</v>
      </c>
      <c r="E259">
        <v>91.364246600132901</v>
      </c>
      <c r="F259">
        <v>131.45226749737049</v>
      </c>
      <c r="H259" s="33">
        <f t="shared" si="17"/>
        <v>36.549408832797781</v>
      </c>
      <c r="I259">
        <f t="shared" si="18"/>
        <v>9.0988123702118173E-2</v>
      </c>
      <c r="J259">
        <f t="shared" si="19"/>
        <v>27.284932002658024</v>
      </c>
      <c r="K259">
        <f t="shared" si="20"/>
        <v>29.045349947409704</v>
      </c>
      <c r="L259" s="33">
        <f t="shared" si="21"/>
        <v>92.970678906567628</v>
      </c>
    </row>
    <row r="260" spans="3:12" x14ac:dyDescent="0.3">
      <c r="C260">
        <v>79.831404693395598</v>
      </c>
      <c r="D260">
        <v>69.291330823325552</v>
      </c>
      <c r="E260">
        <v>89.520196070079692</v>
      </c>
      <c r="F260">
        <v>130.9255381883122</v>
      </c>
      <c r="H260" s="33">
        <f t="shared" si="17"/>
        <v>0.33719061320880428</v>
      </c>
      <c r="I260">
        <f t="shared" si="18"/>
        <v>1.4173383533488959</v>
      </c>
      <c r="J260">
        <f t="shared" si="19"/>
        <v>0.95960785984061658</v>
      </c>
      <c r="K260">
        <f t="shared" si="20"/>
        <v>18.510763766244054</v>
      </c>
      <c r="L260" s="33">
        <f t="shared" si="21"/>
        <v>21.224900592642371</v>
      </c>
    </row>
    <row r="261" spans="3:12" x14ac:dyDescent="0.3">
      <c r="C261">
        <v>78.431494532269426</v>
      </c>
      <c r="D261">
        <v>70.084362454799702</v>
      </c>
      <c r="E261">
        <v>88.306684574345127</v>
      </c>
      <c r="F261">
        <v>129.52722191665089</v>
      </c>
      <c r="H261" s="33">
        <f t="shared" si="17"/>
        <v>3.1370109354611486</v>
      </c>
      <c r="I261">
        <f t="shared" si="18"/>
        <v>1.6872490959940478</v>
      </c>
      <c r="J261">
        <f t="shared" si="19"/>
        <v>3.3866308513097465</v>
      </c>
      <c r="K261">
        <f t="shared" si="20"/>
        <v>0.94555616669822484</v>
      </c>
      <c r="L261" s="33">
        <f t="shared" si="21"/>
        <v>9.1564470494631678</v>
      </c>
    </row>
    <row r="262" spans="3:12" x14ac:dyDescent="0.3">
      <c r="C262">
        <v>82.54702172242105</v>
      </c>
      <c r="D262">
        <v>70.066333996073809</v>
      </c>
      <c r="E262">
        <v>90.52055156629649</v>
      </c>
      <c r="F262">
        <v>130.52889163271175</v>
      </c>
      <c r="H262" s="33">
        <f t="shared" si="17"/>
        <v>50.940434448421001</v>
      </c>
      <c r="I262">
        <f t="shared" si="18"/>
        <v>1.3266799214761704</v>
      </c>
      <c r="J262">
        <f t="shared" si="19"/>
        <v>10.411031325929798</v>
      </c>
      <c r="K262">
        <f t="shared" si="20"/>
        <v>10.577832654234953</v>
      </c>
      <c r="L262" s="33">
        <f t="shared" si="21"/>
        <v>73.255978350061923</v>
      </c>
    </row>
    <row r="263" spans="3:12" x14ac:dyDescent="0.3">
      <c r="C263">
        <v>80.199875103135128</v>
      </c>
      <c r="D263">
        <v>70.505456227983814</v>
      </c>
      <c r="E263">
        <v>90.733471097191796</v>
      </c>
      <c r="F263">
        <v>129.09711732470896</v>
      </c>
      <c r="H263" s="33">
        <f t="shared" si="17"/>
        <v>3.9975020627025515</v>
      </c>
      <c r="I263">
        <f t="shared" si="18"/>
        <v>10.109124559676275</v>
      </c>
      <c r="J263">
        <f t="shared" si="19"/>
        <v>14.669421943835914</v>
      </c>
      <c r="K263">
        <f t="shared" si="20"/>
        <v>1.8057653505820781</v>
      </c>
      <c r="L263" s="33">
        <f t="shared" si="21"/>
        <v>30.581813916796818</v>
      </c>
    </row>
    <row r="264" spans="3:12" x14ac:dyDescent="0.3">
      <c r="C264">
        <v>80.40462850847689</v>
      </c>
      <c r="D264">
        <v>71.535345290903933</v>
      </c>
      <c r="E264">
        <v>89.477695382665843</v>
      </c>
      <c r="F264">
        <v>130.29903162612754</v>
      </c>
      <c r="H264" s="33">
        <f t="shared" si="17"/>
        <v>8.0925701695377938</v>
      </c>
      <c r="I264">
        <f t="shared" si="18"/>
        <v>30.706905818078667</v>
      </c>
      <c r="J264">
        <f t="shared" si="19"/>
        <v>1.0446092346683145</v>
      </c>
      <c r="K264">
        <f t="shared" si="20"/>
        <v>5.9806325225508772</v>
      </c>
      <c r="L264" s="33">
        <f t="shared" si="21"/>
        <v>45.824717744835652</v>
      </c>
    </row>
    <row r="265" spans="3:12" x14ac:dyDescent="0.3">
      <c r="C265">
        <v>79.73131366459711</v>
      </c>
      <c r="D265">
        <v>71.449416231480427</v>
      </c>
      <c r="E265">
        <v>89.961320327201975</v>
      </c>
      <c r="F265">
        <v>131.04366563391523</v>
      </c>
      <c r="H265" s="33">
        <f t="shared" si="17"/>
        <v>0.53737267080578022</v>
      </c>
      <c r="I265">
        <f t="shared" si="18"/>
        <v>28.988324629608542</v>
      </c>
      <c r="J265">
        <f t="shared" si="19"/>
        <v>7.7359345596050844E-2</v>
      </c>
      <c r="K265">
        <f t="shared" si="20"/>
        <v>20.873312678304501</v>
      </c>
      <c r="L265" s="33">
        <f t="shared" si="21"/>
        <v>50.476369324314874</v>
      </c>
    </row>
    <row r="266" spans="3:12" x14ac:dyDescent="0.3">
      <c r="C266">
        <v>79.674218997824937</v>
      </c>
      <c r="D266">
        <v>69.81306359586597</v>
      </c>
      <c r="E266">
        <v>88.553203113260679</v>
      </c>
      <c r="F266">
        <v>130.03217337507522</v>
      </c>
      <c r="H266" s="33">
        <f t="shared" si="17"/>
        <v>0.65156200435012579</v>
      </c>
      <c r="I266">
        <f t="shared" si="18"/>
        <v>0.37387280826806091</v>
      </c>
      <c r="J266">
        <f t="shared" si="19"/>
        <v>2.8935937734786421</v>
      </c>
      <c r="K266">
        <f t="shared" si="20"/>
        <v>0.64346750150434673</v>
      </c>
      <c r="L266" s="33">
        <f t="shared" si="21"/>
        <v>4.5624960876011755</v>
      </c>
    </row>
    <row r="267" spans="3:12" x14ac:dyDescent="0.3">
      <c r="C267">
        <v>78.501866684819106</v>
      </c>
      <c r="D267">
        <v>68.916332515364047</v>
      </c>
      <c r="E267">
        <v>91.484413587604649</v>
      </c>
      <c r="F267">
        <v>127.86145053803921</v>
      </c>
      <c r="H267" s="33">
        <f t="shared" si="17"/>
        <v>2.996266630361788</v>
      </c>
      <c r="I267">
        <f t="shared" si="18"/>
        <v>2.1673349692719057</v>
      </c>
      <c r="J267">
        <f t="shared" si="19"/>
        <v>29.688271752092987</v>
      </c>
      <c r="K267">
        <f t="shared" si="20"/>
        <v>4.2770989239215851</v>
      </c>
      <c r="L267" s="33">
        <f t="shared" si="21"/>
        <v>39.128972275648266</v>
      </c>
    </row>
    <row r="268" spans="3:12" x14ac:dyDescent="0.3">
      <c r="C268">
        <v>77.352861100807786</v>
      </c>
      <c r="D268">
        <v>68.209459590725601</v>
      </c>
      <c r="E268">
        <v>90.988545707514277</v>
      </c>
      <c r="F268">
        <v>130.88678461906966</v>
      </c>
      <c r="H268" s="33">
        <f t="shared" si="17"/>
        <v>5.294277798384428</v>
      </c>
      <c r="I268">
        <f t="shared" si="18"/>
        <v>3.5810808185487986</v>
      </c>
      <c r="J268">
        <f t="shared" si="19"/>
        <v>19.770914150285535</v>
      </c>
      <c r="K268">
        <f t="shared" si="20"/>
        <v>17.735692381393164</v>
      </c>
      <c r="L268" s="33">
        <f t="shared" si="21"/>
        <v>46.381965148611926</v>
      </c>
    </row>
    <row r="269" spans="3:12" x14ac:dyDescent="0.3">
      <c r="C269">
        <v>81.282892299059313</v>
      </c>
      <c r="D269">
        <v>70.557797648070846</v>
      </c>
      <c r="E269">
        <v>88.798821252421476</v>
      </c>
      <c r="F269">
        <v>130.53461917559616</v>
      </c>
      <c r="H269" s="33">
        <f t="shared" si="17"/>
        <v>25.657845981186256</v>
      </c>
      <c r="I269">
        <f t="shared" si="18"/>
        <v>11.155952961416915</v>
      </c>
      <c r="J269">
        <f t="shared" si="19"/>
        <v>2.4023574951570481</v>
      </c>
      <c r="K269">
        <f t="shared" si="20"/>
        <v>10.692383511923254</v>
      </c>
      <c r="L269" s="33">
        <f t="shared" si="21"/>
        <v>49.908539949683473</v>
      </c>
    </row>
    <row r="270" spans="3:12" x14ac:dyDescent="0.3">
      <c r="C270">
        <v>79.408819348900579</v>
      </c>
      <c r="D270">
        <v>70.373929651686922</v>
      </c>
      <c r="E270">
        <v>89.962392394081689</v>
      </c>
      <c r="F270">
        <v>128.69052771828137</v>
      </c>
      <c r="H270" s="33">
        <f t="shared" si="17"/>
        <v>1.1823613021988422</v>
      </c>
      <c r="I270">
        <f t="shared" si="18"/>
        <v>7.4785930337384343</v>
      </c>
      <c r="J270">
        <f t="shared" si="19"/>
        <v>7.5215211836621165E-2</v>
      </c>
      <c r="K270">
        <f t="shared" si="20"/>
        <v>2.6189445634372532</v>
      </c>
      <c r="L270" s="33">
        <f t="shared" si="21"/>
        <v>11.355114111211151</v>
      </c>
    </row>
    <row r="271" spans="3:12" x14ac:dyDescent="0.3">
      <c r="C271">
        <v>81.220928425027523</v>
      </c>
      <c r="D271">
        <v>69.437280848724185</v>
      </c>
      <c r="E271">
        <v>90.503978299093433</v>
      </c>
      <c r="F271">
        <v>130.03385707714187</v>
      </c>
      <c r="H271" s="33">
        <f t="shared" si="17"/>
        <v>24.418568500550464</v>
      </c>
      <c r="I271">
        <f t="shared" si="18"/>
        <v>1.125438302551629</v>
      </c>
      <c r="J271">
        <f t="shared" si="19"/>
        <v>10.079565981868654</v>
      </c>
      <c r="K271">
        <f t="shared" si="20"/>
        <v>0.6771415428374894</v>
      </c>
      <c r="L271" s="33">
        <f t="shared" si="21"/>
        <v>36.300714327808237</v>
      </c>
    </row>
    <row r="272" spans="3:12" x14ac:dyDescent="0.3">
      <c r="C272">
        <v>80.022454287318396</v>
      </c>
      <c r="D272">
        <v>70.183279098564526</v>
      </c>
      <c r="E272">
        <v>91.116593466576887</v>
      </c>
      <c r="F272">
        <v>130.2867341208912</v>
      </c>
      <c r="H272" s="33">
        <f t="shared" si="17"/>
        <v>0.44908574636792764</v>
      </c>
      <c r="I272">
        <f t="shared" si="18"/>
        <v>3.6655819712905213</v>
      </c>
      <c r="J272">
        <f t="shared" si="19"/>
        <v>22.331869331537746</v>
      </c>
      <c r="K272">
        <f t="shared" si="20"/>
        <v>5.7346824178239331</v>
      </c>
      <c r="L272" s="33">
        <f t="shared" si="21"/>
        <v>32.181219467020128</v>
      </c>
    </row>
    <row r="273" spans="3:12" x14ac:dyDescent="0.3">
      <c r="C273">
        <v>80.625143457000377</v>
      </c>
      <c r="D273">
        <v>71.829912434914149</v>
      </c>
      <c r="E273">
        <v>89.109923010109924</v>
      </c>
      <c r="F273">
        <v>129.6127462509321</v>
      </c>
      <c r="H273" s="33">
        <f t="shared" si="17"/>
        <v>12.502869140007533</v>
      </c>
      <c r="I273">
        <f t="shared" si="18"/>
        <v>36.598248698282987</v>
      </c>
      <c r="J273">
        <f t="shared" si="19"/>
        <v>1.7801539797801524</v>
      </c>
      <c r="K273">
        <f t="shared" si="20"/>
        <v>0.77450749813579023</v>
      </c>
      <c r="L273" s="33">
        <f t="shared" si="21"/>
        <v>51.655779316206463</v>
      </c>
    </row>
    <row r="274" spans="3:12" x14ac:dyDescent="0.3">
      <c r="C274">
        <v>81.655707819736563</v>
      </c>
      <c r="D274">
        <v>71.260059434571303</v>
      </c>
      <c r="E274">
        <v>89.947459627946955</v>
      </c>
      <c r="F274">
        <v>129.31037905298581</v>
      </c>
      <c r="H274" s="33">
        <f t="shared" si="17"/>
        <v>33.114156394731253</v>
      </c>
      <c r="I274">
        <f t="shared" si="18"/>
        <v>25.201188691426069</v>
      </c>
      <c r="J274">
        <f t="shared" si="19"/>
        <v>0.1050807441060897</v>
      </c>
      <c r="K274">
        <f t="shared" si="20"/>
        <v>1.3792418940283824</v>
      </c>
      <c r="L274" s="33">
        <f t="shared" si="21"/>
        <v>59.799667724291794</v>
      </c>
    </row>
    <row r="275" spans="3:12" x14ac:dyDescent="0.3">
      <c r="C275">
        <v>80.465347511635628</v>
      </c>
      <c r="D275">
        <v>70.468589860247448</v>
      </c>
      <c r="E275">
        <v>87.787290340056643</v>
      </c>
      <c r="F275">
        <v>128.80446921451949</v>
      </c>
      <c r="H275" s="33">
        <f t="shared" si="17"/>
        <v>9.306950232712552</v>
      </c>
      <c r="I275">
        <f t="shared" si="18"/>
        <v>9.3717972049489617</v>
      </c>
      <c r="J275">
        <f t="shared" si="19"/>
        <v>4.4254193198867142</v>
      </c>
      <c r="K275">
        <f t="shared" si="20"/>
        <v>2.3910615709610283</v>
      </c>
      <c r="L275" s="33">
        <f t="shared" si="21"/>
        <v>25.495228328509256</v>
      </c>
    </row>
    <row r="276" spans="3:12" x14ac:dyDescent="0.3">
      <c r="C276">
        <v>80.493150764668826</v>
      </c>
      <c r="D276">
        <v>69.720114374213153</v>
      </c>
      <c r="E276">
        <v>89.168214799283305</v>
      </c>
      <c r="F276">
        <v>130.53788653531228</v>
      </c>
      <c r="H276" s="33">
        <f t="shared" si="17"/>
        <v>9.8630152933765203</v>
      </c>
      <c r="I276">
        <f t="shared" si="18"/>
        <v>0.55977125157369301</v>
      </c>
      <c r="J276">
        <f t="shared" si="19"/>
        <v>1.6635704014333896</v>
      </c>
      <c r="K276">
        <f t="shared" si="20"/>
        <v>10.757730706245638</v>
      </c>
      <c r="L276" s="33">
        <f t="shared" si="21"/>
        <v>22.844087652629241</v>
      </c>
    </row>
    <row r="277" spans="3:12" x14ac:dyDescent="0.3">
      <c r="C277">
        <v>80.208232222576044</v>
      </c>
      <c r="D277">
        <v>69.252540874294937</v>
      </c>
      <c r="E277">
        <v>90.458453541796189</v>
      </c>
      <c r="F277">
        <v>129.18165485723875</v>
      </c>
      <c r="H277" s="33">
        <f t="shared" si="17"/>
        <v>4.1646444515208714</v>
      </c>
      <c r="I277">
        <f t="shared" si="18"/>
        <v>1.4949182514101267</v>
      </c>
      <c r="J277">
        <f t="shared" si="19"/>
        <v>9.169070835923776</v>
      </c>
      <c r="K277">
        <f t="shared" si="20"/>
        <v>1.6366902855224907</v>
      </c>
      <c r="L277" s="33">
        <f t="shared" si="21"/>
        <v>16.465323824377265</v>
      </c>
    </row>
    <row r="278" spans="3:12" x14ac:dyDescent="0.3">
      <c r="C278">
        <v>78.809144017286599</v>
      </c>
      <c r="D278">
        <v>71.084770246961853</v>
      </c>
      <c r="E278">
        <v>89.671152863811585</v>
      </c>
      <c r="F278">
        <v>130.78824086813256</v>
      </c>
      <c r="H278" s="33">
        <f t="shared" si="17"/>
        <v>2.3817119654268026</v>
      </c>
      <c r="I278">
        <f t="shared" si="18"/>
        <v>21.695404939237051</v>
      </c>
      <c r="J278">
        <f t="shared" si="19"/>
        <v>0.65769427237682976</v>
      </c>
      <c r="K278">
        <f t="shared" si="20"/>
        <v>15.764817362651229</v>
      </c>
      <c r="L278" s="33">
        <f t="shared" si="21"/>
        <v>40.499628539691912</v>
      </c>
    </row>
    <row r="279" spans="3:12" x14ac:dyDescent="0.3">
      <c r="C279">
        <v>79.792627249917132</v>
      </c>
      <c r="D279">
        <v>71.213866198668256</v>
      </c>
      <c r="E279">
        <v>90.565589743928285</v>
      </c>
      <c r="F279">
        <v>130.3425247996347</v>
      </c>
      <c r="H279" s="33">
        <f t="shared" ref="H279:H342" si="22">IF(C279&gt;$C$19,(C279-$C$19)*$I$11,($C$19-C279)*$H$11)</f>
        <v>0.4147455001657363</v>
      </c>
      <c r="I279">
        <f t="shared" ref="I279:I342" si="23">IF(D279&gt;$D$19,(D279-$D$19)*$I$11,($D$19-D279)*$H$11)</f>
        <v>24.277323973365128</v>
      </c>
      <c r="J279">
        <f t="shared" ref="J279:J342" si="24">IF(E279&gt;$E$19,(E279-$E$19)*$I$11,($E$19-E279)*$H$11)</f>
        <v>11.311794878565706</v>
      </c>
      <c r="K279">
        <f t="shared" ref="K279:K342" si="25">IF(F279&gt;$F$19,(F279-$F$19)*$I$11,($F$19-F279)*$H$11)</f>
        <v>6.8504959926940501</v>
      </c>
      <c r="L279" s="33">
        <f t="shared" ref="L279:L342" si="26">SUM(H279:K279)</f>
        <v>42.854360344790621</v>
      </c>
    </row>
    <row r="280" spans="3:12" x14ac:dyDescent="0.3">
      <c r="C280">
        <v>80.405043465434574</v>
      </c>
      <c r="D280">
        <v>69.812519035913283</v>
      </c>
      <c r="E280">
        <v>90.205184278456727</v>
      </c>
      <c r="F280">
        <v>129.55661905914894</v>
      </c>
      <c r="H280" s="33">
        <f t="shared" si="22"/>
        <v>8.1008693086914718</v>
      </c>
      <c r="I280">
        <f t="shared" si="23"/>
        <v>0.37496192817343399</v>
      </c>
      <c r="J280">
        <f t="shared" si="24"/>
        <v>4.1036855691345409</v>
      </c>
      <c r="K280">
        <f t="shared" si="25"/>
        <v>0.8867618817021139</v>
      </c>
      <c r="L280" s="33">
        <f t="shared" si="26"/>
        <v>13.466278687701561</v>
      </c>
    </row>
    <row r="281" spans="3:12" x14ac:dyDescent="0.3">
      <c r="C281">
        <v>79.866536199988332</v>
      </c>
      <c r="D281">
        <v>69.350676489484613</v>
      </c>
      <c r="E281">
        <v>89.373180799011607</v>
      </c>
      <c r="F281">
        <v>128.19677213963587</v>
      </c>
      <c r="H281" s="33">
        <f t="shared" si="22"/>
        <v>0.26692760002333671</v>
      </c>
      <c r="I281">
        <f t="shared" si="23"/>
        <v>1.2986470210307743</v>
      </c>
      <c r="J281">
        <f t="shared" si="24"/>
        <v>1.2536384019767866</v>
      </c>
      <c r="K281">
        <f t="shared" si="25"/>
        <v>3.6064557207282633</v>
      </c>
      <c r="L281" s="33">
        <f t="shared" si="26"/>
        <v>6.4256687437591609</v>
      </c>
    </row>
    <row r="282" spans="3:12" x14ac:dyDescent="0.3">
      <c r="C282">
        <v>79.323227939385106</v>
      </c>
      <c r="D282">
        <v>67.946670191595331</v>
      </c>
      <c r="E282">
        <v>91.509270077804103</v>
      </c>
      <c r="F282">
        <v>129.96024826032226</v>
      </c>
      <c r="H282" s="33">
        <f t="shared" si="22"/>
        <v>1.3535441212297883</v>
      </c>
      <c r="I282">
        <f t="shared" si="23"/>
        <v>4.1066596168093383</v>
      </c>
      <c r="J282">
        <f t="shared" si="24"/>
        <v>30.18540155608207</v>
      </c>
      <c r="K282">
        <f t="shared" si="25"/>
        <v>7.9503479355480522E-2</v>
      </c>
      <c r="L282" s="33">
        <f t="shared" si="26"/>
        <v>35.725108773476677</v>
      </c>
    </row>
    <row r="283" spans="3:12" x14ac:dyDescent="0.3">
      <c r="C283">
        <v>80.65557060224819</v>
      </c>
      <c r="D283">
        <v>70.410196889788494</v>
      </c>
      <c r="E283">
        <v>90.076995547715342</v>
      </c>
      <c r="F283">
        <v>128.73245997150661</v>
      </c>
      <c r="H283" s="33">
        <f t="shared" si="22"/>
        <v>13.111412044963799</v>
      </c>
      <c r="I283">
        <f t="shared" si="23"/>
        <v>8.2039377957698889</v>
      </c>
      <c r="J283">
        <f t="shared" si="24"/>
        <v>1.5399109543068334</v>
      </c>
      <c r="K283">
        <f t="shared" si="25"/>
        <v>2.5350800569867715</v>
      </c>
      <c r="L283" s="33">
        <f t="shared" si="26"/>
        <v>25.390340852027293</v>
      </c>
    </row>
    <row r="284" spans="3:12" x14ac:dyDescent="0.3">
      <c r="C284">
        <v>80.870579697220819</v>
      </c>
      <c r="D284">
        <v>69.638430381310172</v>
      </c>
      <c r="E284">
        <v>88.876962763461052</v>
      </c>
      <c r="F284">
        <v>131.00374791145441</v>
      </c>
      <c r="H284" s="33">
        <f t="shared" si="22"/>
        <v>17.411593944416381</v>
      </c>
      <c r="I284">
        <f t="shared" si="23"/>
        <v>0.72313923737965524</v>
      </c>
      <c r="J284">
        <f t="shared" si="24"/>
        <v>2.246074473077897</v>
      </c>
      <c r="K284">
        <f t="shared" si="25"/>
        <v>20.074958229088224</v>
      </c>
      <c r="L284" s="33">
        <f t="shared" si="26"/>
        <v>40.455765883962158</v>
      </c>
    </row>
    <row r="285" spans="3:12" x14ac:dyDescent="0.3">
      <c r="C285">
        <v>80.5572610461968</v>
      </c>
      <c r="D285">
        <v>70.620129867456853</v>
      </c>
      <c r="E285">
        <v>88.50561380299041</v>
      </c>
      <c r="F285">
        <v>131.18019670480862</v>
      </c>
      <c r="H285" s="33">
        <f t="shared" si="22"/>
        <v>11.145220923935995</v>
      </c>
      <c r="I285">
        <f t="shared" si="23"/>
        <v>12.402597349137068</v>
      </c>
      <c r="J285">
        <f t="shared" si="24"/>
        <v>2.988772394019179</v>
      </c>
      <c r="K285">
        <f t="shared" si="25"/>
        <v>23.603934096172452</v>
      </c>
      <c r="L285" s="33">
        <f t="shared" si="26"/>
        <v>50.140524763264693</v>
      </c>
    </row>
    <row r="286" spans="3:12" x14ac:dyDescent="0.3">
      <c r="C286">
        <v>82.632150426506996</v>
      </c>
      <c r="D286">
        <v>70.591180651099421</v>
      </c>
      <c r="E286">
        <v>90.973320766206598</v>
      </c>
      <c r="F286">
        <v>129.64967628329759</v>
      </c>
      <c r="H286" s="33">
        <f t="shared" si="22"/>
        <v>52.643008530139923</v>
      </c>
      <c r="I286">
        <f t="shared" si="23"/>
        <v>11.823613021988422</v>
      </c>
      <c r="J286">
        <f t="shared" si="24"/>
        <v>19.466415324131958</v>
      </c>
      <c r="K286">
        <f t="shared" si="25"/>
        <v>0.70064743340481073</v>
      </c>
      <c r="L286" s="33">
        <f t="shared" si="26"/>
        <v>84.633684309665114</v>
      </c>
    </row>
    <row r="287" spans="3:12" x14ac:dyDescent="0.3">
      <c r="C287">
        <v>80.904262833500979</v>
      </c>
      <c r="D287">
        <v>69.565127382084029</v>
      </c>
      <c r="E287">
        <v>91.507837623648811</v>
      </c>
      <c r="F287">
        <v>130.010518306226</v>
      </c>
      <c r="H287" s="33">
        <f t="shared" si="22"/>
        <v>18.085256670019589</v>
      </c>
      <c r="I287">
        <f t="shared" si="23"/>
        <v>0.86974523583194241</v>
      </c>
      <c r="J287">
        <f t="shared" si="24"/>
        <v>30.156752472976223</v>
      </c>
      <c r="K287">
        <f t="shared" si="25"/>
        <v>0.2103661245200783</v>
      </c>
      <c r="L287" s="33">
        <f t="shared" si="26"/>
        <v>49.322120503347833</v>
      </c>
    </row>
    <row r="288" spans="3:12" x14ac:dyDescent="0.3">
      <c r="C288">
        <v>81.062849150912371</v>
      </c>
      <c r="D288">
        <v>70.058132627600571</v>
      </c>
      <c r="E288">
        <v>90.074539912020555</v>
      </c>
      <c r="F288">
        <v>130.44591388359549</v>
      </c>
      <c r="H288" s="33">
        <f t="shared" si="22"/>
        <v>21.256983018247411</v>
      </c>
      <c r="I288">
        <f t="shared" si="23"/>
        <v>1.1626525520114228</v>
      </c>
      <c r="J288">
        <f t="shared" si="24"/>
        <v>1.4907982404110953</v>
      </c>
      <c r="K288">
        <f t="shared" si="25"/>
        <v>8.9182776719098911</v>
      </c>
      <c r="L288" s="33">
        <f t="shared" si="26"/>
        <v>32.82871148257982</v>
      </c>
    </row>
    <row r="289" spans="3:12" x14ac:dyDescent="0.3">
      <c r="C289">
        <v>78.961857272661291</v>
      </c>
      <c r="D289">
        <v>68.804623828618787</v>
      </c>
      <c r="E289">
        <v>89.388285232271301</v>
      </c>
      <c r="F289">
        <v>130.97405973065179</v>
      </c>
      <c r="H289" s="33">
        <f t="shared" si="22"/>
        <v>2.0762854546774179</v>
      </c>
      <c r="I289">
        <f t="shared" si="23"/>
        <v>2.3907523427624255</v>
      </c>
      <c r="J289">
        <f t="shared" si="24"/>
        <v>1.2234295354573987</v>
      </c>
      <c r="K289">
        <f t="shared" si="25"/>
        <v>19.481194613035768</v>
      </c>
      <c r="L289" s="33">
        <f t="shared" si="26"/>
        <v>25.17166194593301</v>
      </c>
    </row>
    <row r="290" spans="3:12" x14ac:dyDescent="0.3">
      <c r="C290">
        <v>80.769489361118758</v>
      </c>
      <c r="D290">
        <v>70.441439169662772</v>
      </c>
      <c r="E290">
        <v>89.591134383081226</v>
      </c>
      <c r="F290">
        <v>130.05951278581051</v>
      </c>
      <c r="H290" s="33">
        <f t="shared" si="22"/>
        <v>15.389787222375162</v>
      </c>
      <c r="I290">
        <f t="shared" si="23"/>
        <v>8.8287833932554349</v>
      </c>
      <c r="J290">
        <f t="shared" si="24"/>
        <v>0.81773123383754864</v>
      </c>
      <c r="K290">
        <f t="shared" si="25"/>
        <v>1.1902557162102312</v>
      </c>
      <c r="L290" s="33">
        <f t="shared" si="26"/>
        <v>26.226557565678377</v>
      </c>
    </row>
    <row r="291" spans="3:12" x14ac:dyDescent="0.3">
      <c r="C291">
        <v>80.344309682986932</v>
      </c>
      <c r="D291">
        <v>67.565028024837375</v>
      </c>
      <c r="E291">
        <v>88.855284957244294</v>
      </c>
      <c r="F291">
        <v>131.24896814668318</v>
      </c>
      <c r="H291" s="33">
        <f t="shared" si="22"/>
        <v>6.8861936597386375</v>
      </c>
      <c r="I291">
        <f t="shared" si="23"/>
        <v>4.8699439503252506</v>
      </c>
      <c r="J291">
        <f t="shared" si="24"/>
        <v>2.2894300855114125</v>
      </c>
      <c r="K291">
        <f t="shared" si="25"/>
        <v>24.979362933663651</v>
      </c>
      <c r="L291" s="33">
        <f t="shared" si="26"/>
        <v>39.024930629238952</v>
      </c>
    </row>
    <row r="292" spans="3:12" x14ac:dyDescent="0.3">
      <c r="C292">
        <v>80.027046098693972</v>
      </c>
      <c r="D292">
        <v>69.991241566021927</v>
      </c>
      <c r="E292">
        <v>90.382722191716311</v>
      </c>
      <c r="F292">
        <v>128.50957465241663</v>
      </c>
      <c r="H292" s="33">
        <f t="shared" si="22"/>
        <v>0.54092197387944907</v>
      </c>
      <c r="I292">
        <f t="shared" si="23"/>
        <v>1.7516867956146598E-2</v>
      </c>
      <c r="J292">
        <f t="shared" si="24"/>
        <v>7.65444383432623</v>
      </c>
      <c r="K292">
        <f t="shared" si="25"/>
        <v>2.9808506951667368</v>
      </c>
      <c r="L292" s="33">
        <f t="shared" si="26"/>
        <v>11.193733371328562</v>
      </c>
    </row>
    <row r="293" spans="3:12" x14ac:dyDescent="0.3">
      <c r="C293">
        <v>78.101411620154977</v>
      </c>
      <c r="D293">
        <v>70.064264895627275</v>
      </c>
      <c r="E293">
        <v>89.577371454506647</v>
      </c>
      <c r="F293">
        <v>129.75991727296787</v>
      </c>
      <c r="H293" s="33">
        <f t="shared" si="22"/>
        <v>3.7971767596900463</v>
      </c>
      <c r="I293">
        <f t="shared" si="23"/>
        <v>1.2852979125455022</v>
      </c>
      <c r="J293">
        <f t="shared" si="24"/>
        <v>0.84525709098670632</v>
      </c>
      <c r="K293">
        <f t="shared" si="25"/>
        <v>0.48016545406426303</v>
      </c>
      <c r="L293" s="33">
        <f t="shared" si="26"/>
        <v>6.4078972172865178</v>
      </c>
    </row>
    <row r="294" spans="3:12" x14ac:dyDescent="0.3">
      <c r="C294">
        <v>78.791549842280801</v>
      </c>
      <c r="D294">
        <v>69.90649712344748</v>
      </c>
      <c r="E294">
        <v>89.594624568999279</v>
      </c>
      <c r="F294">
        <v>129.06242010183632</v>
      </c>
      <c r="H294" s="33">
        <f t="shared" si="22"/>
        <v>2.4169003154383972</v>
      </c>
      <c r="I294">
        <f t="shared" si="23"/>
        <v>0.18700575310504064</v>
      </c>
      <c r="J294">
        <f t="shared" si="24"/>
        <v>0.81075086200144142</v>
      </c>
      <c r="K294">
        <f t="shared" si="25"/>
        <v>1.8751597963273525</v>
      </c>
      <c r="L294" s="33">
        <f t="shared" si="26"/>
        <v>5.2898167268722318</v>
      </c>
    </row>
    <row r="295" spans="3:12" x14ac:dyDescent="0.3">
      <c r="C295">
        <v>79.194735664787004</v>
      </c>
      <c r="D295">
        <v>70.096345047495561</v>
      </c>
      <c r="E295">
        <v>88.789962774026208</v>
      </c>
      <c r="F295">
        <v>131.69814484252129</v>
      </c>
      <c r="H295" s="33">
        <f t="shared" si="22"/>
        <v>1.6105286704259925</v>
      </c>
      <c r="I295">
        <f t="shared" si="23"/>
        <v>1.9269009499112144</v>
      </c>
      <c r="J295">
        <f t="shared" si="24"/>
        <v>2.4200744519475847</v>
      </c>
      <c r="K295">
        <f t="shared" si="25"/>
        <v>33.96289685042575</v>
      </c>
      <c r="L295" s="33">
        <f t="shared" si="26"/>
        <v>39.920400922710542</v>
      </c>
    </row>
    <row r="296" spans="3:12" x14ac:dyDescent="0.3">
      <c r="C296">
        <v>80.166035079018911</v>
      </c>
      <c r="D296">
        <v>69.384315287898062</v>
      </c>
      <c r="E296">
        <v>91.665421223151498</v>
      </c>
      <c r="F296">
        <v>130.15023260857561</v>
      </c>
      <c r="H296" s="33">
        <f t="shared" si="22"/>
        <v>3.3207015803782269</v>
      </c>
      <c r="I296">
        <f t="shared" si="23"/>
        <v>1.2313694242038764</v>
      </c>
      <c r="J296">
        <f t="shared" si="24"/>
        <v>33.308424463029951</v>
      </c>
      <c r="K296">
        <f t="shared" si="25"/>
        <v>3.0046521715121344</v>
      </c>
      <c r="L296" s="33">
        <f t="shared" si="26"/>
        <v>40.865147639124189</v>
      </c>
    </row>
    <row r="297" spans="3:12" x14ac:dyDescent="0.3">
      <c r="C297">
        <v>81.801290636649355</v>
      </c>
      <c r="D297">
        <v>71.029397935781162</v>
      </c>
      <c r="E297">
        <v>91.449416231480427</v>
      </c>
      <c r="F297">
        <v>130.72747752710711</v>
      </c>
      <c r="H297" s="33">
        <f t="shared" si="22"/>
        <v>36.025812732987106</v>
      </c>
      <c r="I297">
        <f t="shared" si="23"/>
        <v>20.587958715623245</v>
      </c>
      <c r="J297">
        <f t="shared" si="24"/>
        <v>28.988324629608542</v>
      </c>
      <c r="K297">
        <f t="shared" si="25"/>
        <v>14.549550542142242</v>
      </c>
      <c r="L297" s="33">
        <f t="shared" si="26"/>
        <v>100.15164662036113</v>
      </c>
    </row>
    <row r="298" spans="3:12" x14ac:dyDescent="0.3">
      <c r="C298">
        <v>80.420955075242091</v>
      </c>
      <c r="D298">
        <v>69.653252871212317</v>
      </c>
      <c r="E298">
        <v>89.163774191401899</v>
      </c>
      <c r="F298">
        <v>132.76944774668664</v>
      </c>
      <c r="H298" s="33">
        <f t="shared" si="22"/>
        <v>8.4191015048418194</v>
      </c>
      <c r="I298">
        <f t="shared" si="23"/>
        <v>0.69349425757536665</v>
      </c>
      <c r="J298">
        <f t="shared" si="24"/>
        <v>1.6724516171962023</v>
      </c>
      <c r="K298">
        <f t="shared" si="25"/>
        <v>55.388954933732748</v>
      </c>
      <c r="L298" s="33">
        <f t="shared" si="26"/>
        <v>66.174002313346136</v>
      </c>
    </row>
    <row r="299" spans="3:12" x14ac:dyDescent="0.3">
      <c r="C299">
        <v>80.049323034545523</v>
      </c>
      <c r="D299">
        <v>71.040111783368047</v>
      </c>
      <c r="E299">
        <v>89.380520421254914</v>
      </c>
      <c r="F299">
        <v>130.04304411049816</v>
      </c>
      <c r="H299" s="33">
        <f t="shared" si="22"/>
        <v>0.98646069091046229</v>
      </c>
      <c r="I299">
        <f t="shared" si="23"/>
        <v>20.802235667360947</v>
      </c>
      <c r="J299">
        <f t="shared" si="24"/>
        <v>1.2389591574901715</v>
      </c>
      <c r="K299">
        <f t="shared" si="25"/>
        <v>0.86088220996316522</v>
      </c>
      <c r="L299" s="33">
        <f t="shared" si="26"/>
        <v>23.888537725724746</v>
      </c>
    </row>
    <row r="300" spans="3:12" x14ac:dyDescent="0.3">
      <c r="C300">
        <v>80.487370925839059</v>
      </c>
      <c r="D300">
        <v>69.742796035206993</v>
      </c>
      <c r="E300">
        <v>89.839856172911823</v>
      </c>
      <c r="F300">
        <v>130.06510845196317</v>
      </c>
      <c r="H300" s="33">
        <f t="shared" si="22"/>
        <v>9.7474185167811811</v>
      </c>
      <c r="I300">
        <f t="shared" si="23"/>
        <v>0.51440792958601378</v>
      </c>
      <c r="J300">
        <f t="shared" si="24"/>
        <v>0.32028765417635441</v>
      </c>
      <c r="K300">
        <f t="shared" si="25"/>
        <v>1.30216903926339</v>
      </c>
      <c r="L300" s="33">
        <f t="shared" si="26"/>
        <v>11.884283139806939</v>
      </c>
    </row>
    <row r="301" spans="3:12" x14ac:dyDescent="0.3">
      <c r="C301">
        <v>80.474489070256823</v>
      </c>
      <c r="D301">
        <v>71.292710294364952</v>
      </c>
      <c r="E301">
        <v>89.161492496568826</v>
      </c>
      <c r="F301">
        <v>130.46628656491521</v>
      </c>
      <c r="H301" s="33">
        <f t="shared" si="22"/>
        <v>9.4897814051364549</v>
      </c>
      <c r="I301">
        <f t="shared" si="23"/>
        <v>25.854205887299031</v>
      </c>
      <c r="J301">
        <f t="shared" si="24"/>
        <v>1.6770150068623479</v>
      </c>
      <c r="K301">
        <f t="shared" si="25"/>
        <v>9.3257312983041629</v>
      </c>
      <c r="L301" s="33">
        <f t="shared" si="26"/>
        <v>46.346733597601997</v>
      </c>
    </row>
    <row r="302" spans="3:12" x14ac:dyDescent="0.3">
      <c r="C302">
        <v>80.197924236999825</v>
      </c>
      <c r="D302">
        <v>71.646139935473911</v>
      </c>
      <c r="E302">
        <v>89.947383457765682</v>
      </c>
      <c r="F302">
        <v>130.05123865776113</v>
      </c>
      <c r="H302" s="33">
        <f t="shared" si="22"/>
        <v>3.9584847399964929</v>
      </c>
      <c r="I302">
        <f t="shared" si="23"/>
        <v>32.922798709478229</v>
      </c>
      <c r="J302">
        <f t="shared" si="24"/>
        <v>0.10523308446863666</v>
      </c>
      <c r="K302">
        <f t="shared" si="25"/>
        <v>1.0247731552226469</v>
      </c>
      <c r="L302" s="33">
        <f t="shared" si="26"/>
        <v>38.011289689166006</v>
      </c>
    </row>
    <row r="303" spans="3:12" x14ac:dyDescent="0.3">
      <c r="C303">
        <v>80.305598177874344</v>
      </c>
      <c r="D303">
        <v>70.351868720827042</v>
      </c>
      <c r="E303">
        <v>89.425501755467849</v>
      </c>
      <c r="F303">
        <v>128.51604570721975</v>
      </c>
      <c r="H303" s="33">
        <f t="shared" si="22"/>
        <v>6.111963557486888</v>
      </c>
      <c r="I303">
        <f t="shared" si="23"/>
        <v>7.0373744165408425</v>
      </c>
      <c r="J303">
        <f t="shared" si="24"/>
        <v>1.1489964890643023</v>
      </c>
      <c r="K303">
        <f t="shared" si="25"/>
        <v>2.9679085855605081</v>
      </c>
      <c r="L303" s="33">
        <f t="shared" si="26"/>
        <v>17.266243048652541</v>
      </c>
    </row>
    <row r="304" spans="3:12" x14ac:dyDescent="0.3">
      <c r="C304">
        <v>80.458963995697559</v>
      </c>
      <c r="D304">
        <v>68.422799762920476</v>
      </c>
      <c r="E304">
        <v>89.740107341494877</v>
      </c>
      <c r="F304">
        <v>130.77670847531408</v>
      </c>
      <c r="H304" s="33">
        <f t="shared" si="22"/>
        <v>9.1792799139511772</v>
      </c>
      <c r="I304">
        <f t="shared" si="23"/>
        <v>3.154400474159047</v>
      </c>
      <c r="J304">
        <f t="shared" si="24"/>
        <v>0.51978531701024622</v>
      </c>
      <c r="K304">
        <f t="shared" si="25"/>
        <v>15.534169506281614</v>
      </c>
      <c r="L304" s="33">
        <f t="shared" si="26"/>
        <v>28.387635211402085</v>
      </c>
    </row>
    <row r="305" spans="3:12" x14ac:dyDescent="0.3">
      <c r="C305">
        <v>79.613653471897123</v>
      </c>
      <c r="D305">
        <v>71.387102201988455</v>
      </c>
      <c r="E305">
        <v>90.392453785025282</v>
      </c>
      <c r="F305">
        <v>129.62885794957401</v>
      </c>
      <c r="H305" s="33">
        <f t="shared" si="22"/>
        <v>0.77269305620575324</v>
      </c>
      <c r="I305">
        <f t="shared" si="23"/>
        <v>27.742044039769098</v>
      </c>
      <c r="J305">
        <f t="shared" si="24"/>
        <v>7.8490757005056366</v>
      </c>
      <c r="K305">
        <f t="shared" si="25"/>
        <v>0.74228410085197538</v>
      </c>
      <c r="L305" s="33">
        <f t="shared" si="26"/>
        <v>37.106096897332463</v>
      </c>
    </row>
    <row r="306" spans="3:12" x14ac:dyDescent="0.3">
      <c r="C306">
        <v>78.907064764352981</v>
      </c>
      <c r="D306">
        <v>70.777329205448041</v>
      </c>
      <c r="E306">
        <v>88.430184859898873</v>
      </c>
      <c r="F306">
        <v>130.37499603422475</v>
      </c>
      <c r="H306" s="33">
        <f t="shared" si="22"/>
        <v>2.185870471294038</v>
      </c>
      <c r="I306">
        <f t="shared" si="23"/>
        <v>15.546584108960815</v>
      </c>
      <c r="J306">
        <f t="shared" si="24"/>
        <v>3.1396302802022547</v>
      </c>
      <c r="K306">
        <f t="shared" si="25"/>
        <v>7.4999206844950095</v>
      </c>
      <c r="L306" s="33">
        <f t="shared" si="26"/>
        <v>28.372005544952117</v>
      </c>
    </row>
    <row r="307" spans="3:12" x14ac:dyDescent="0.3">
      <c r="C307">
        <v>81.038667960528983</v>
      </c>
      <c r="D307">
        <v>71.648518264119048</v>
      </c>
      <c r="E307">
        <v>91.428734321962111</v>
      </c>
      <c r="F307">
        <v>130.83200120570837</v>
      </c>
      <c r="H307" s="33">
        <f t="shared" si="22"/>
        <v>20.773359210579656</v>
      </c>
      <c r="I307">
        <f t="shared" si="23"/>
        <v>32.970365282380953</v>
      </c>
      <c r="J307">
        <f t="shared" si="24"/>
        <v>28.574686439242214</v>
      </c>
      <c r="K307">
        <f t="shared" si="25"/>
        <v>16.640024114167318</v>
      </c>
      <c r="L307" s="33">
        <f t="shared" si="26"/>
        <v>98.958435046370141</v>
      </c>
    </row>
    <row r="308" spans="3:12" x14ac:dyDescent="0.3">
      <c r="C308">
        <v>80.003403783921385</v>
      </c>
      <c r="D308">
        <v>69.693038716941373</v>
      </c>
      <c r="E308">
        <v>90.827683379611699</v>
      </c>
      <c r="F308">
        <v>130.2182491698477</v>
      </c>
      <c r="H308" s="33">
        <f t="shared" si="22"/>
        <v>6.8075678427703679E-2</v>
      </c>
      <c r="I308">
        <f t="shared" si="23"/>
        <v>0.61392256611725315</v>
      </c>
      <c r="J308">
        <f t="shared" si="24"/>
        <v>16.553667592233978</v>
      </c>
      <c r="K308">
        <f t="shared" si="25"/>
        <v>4.3649833969539031</v>
      </c>
      <c r="L308" s="33">
        <f t="shared" si="26"/>
        <v>21.600649233732838</v>
      </c>
    </row>
    <row r="309" spans="3:12" x14ac:dyDescent="0.3">
      <c r="C309">
        <v>80.304235072690062</v>
      </c>
      <c r="D309">
        <v>68.847590632067295</v>
      </c>
      <c r="E309">
        <v>88.875091478112154</v>
      </c>
      <c r="F309">
        <v>128.35148173588095</v>
      </c>
      <c r="H309" s="33">
        <f t="shared" si="22"/>
        <v>6.0847014538012445</v>
      </c>
      <c r="I309">
        <f t="shared" si="23"/>
        <v>2.3048187358654104</v>
      </c>
      <c r="J309">
        <f t="shared" si="24"/>
        <v>2.2498170437756926</v>
      </c>
      <c r="K309">
        <f t="shared" si="25"/>
        <v>3.2970365282380953</v>
      </c>
      <c r="L309" s="33">
        <f t="shared" si="26"/>
        <v>13.936373761680443</v>
      </c>
    </row>
    <row r="310" spans="3:12" x14ac:dyDescent="0.3">
      <c r="C310">
        <v>79.242286321532447</v>
      </c>
      <c r="D310">
        <v>70.752220330468845</v>
      </c>
      <c r="E310">
        <v>90.525111545357504</v>
      </c>
      <c r="F310">
        <v>132.51322489930317</v>
      </c>
      <c r="H310" s="33">
        <f t="shared" si="22"/>
        <v>1.5154273569351062</v>
      </c>
      <c r="I310">
        <f t="shared" si="23"/>
        <v>15.044406609376892</v>
      </c>
      <c r="J310">
        <f t="shared" si="24"/>
        <v>10.502230907150079</v>
      </c>
      <c r="K310">
        <f t="shared" si="25"/>
        <v>50.264497986063361</v>
      </c>
      <c r="L310" s="33">
        <f t="shared" si="26"/>
        <v>77.326562859525438</v>
      </c>
    </row>
    <row r="311" spans="3:12" x14ac:dyDescent="0.3">
      <c r="C311">
        <v>80.044803982746089</v>
      </c>
      <c r="D311">
        <v>70.598118958805571</v>
      </c>
      <c r="E311">
        <v>89.962315087032039</v>
      </c>
      <c r="F311">
        <v>129.09031203060295</v>
      </c>
      <c r="H311" s="33">
        <f t="shared" si="22"/>
        <v>0.89607965492177755</v>
      </c>
      <c r="I311">
        <f t="shared" si="23"/>
        <v>11.962379176111426</v>
      </c>
      <c r="J311">
        <f t="shared" si="24"/>
        <v>7.5369825935922563E-2</v>
      </c>
      <c r="K311">
        <f t="shared" si="25"/>
        <v>1.81937593879411</v>
      </c>
      <c r="L311" s="33">
        <f t="shared" si="26"/>
        <v>14.753204595763236</v>
      </c>
    </row>
    <row r="312" spans="3:12" x14ac:dyDescent="0.3">
      <c r="C312">
        <v>81.061639522959013</v>
      </c>
      <c r="D312">
        <v>67.707054717466235</v>
      </c>
      <c r="E312">
        <v>90.025820554583333</v>
      </c>
      <c r="F312">
        <v>132.26620613830164</v>
      </c>
      <c r="H312" s="33">
        <f t="shared" si="22"/>
        <v>21.232790459180251</v>
      </c>
      <c r="I312">
        <f t="shared" si="23"/>
        <v>4.5858905650675297</v>
      </c>
      <c r="J312">
        <f t="shared" si="24"/>
        <v>0.51641109166666865</v>
      </c>
      <c r="K312">
        <f t="shared" si="25"/>
        <v>45.324122766032815</v>
      </c>
      <c r="L312" s="33">
        <f t="shared" si="26"/>
        <v>71.659214881947264</v>
      </c>
    </row>
    <row r="313" spans="3:12" x14ac:dyDescent="0.3">
      <c r="C313">
        <v>78.436969690374099</v>
      </c>
      <c r="D313">
        <v>70.59501189753064</v>
      </c>
      <c r="E313">
        <v>89.183896761678625</v>
      </c>
      <c r="F313">
        <v>130.43092313717352</v>
      </c>
      <c r="H313" s="33">
        <f t="shared" si="22"/>
        <v>3.1260606192518026</v>
      </c>
      <c r="I313">
        <f t="shared" si="23"/>
        <v>11.900237950612791</v>
      </c>
      <c r="J313">
        <f t="shared" si="24"/>
        <v>1.6322064766427502</v>
      </c>
      <c r="K313">
        <f t="shared" si="25"/>
        <v>8.6184627434704453</v>
      </c>
      <c r="L313" s="33">
        <f t="shared" si="26"/>
        <v>25.276967789977789</v>
      </c>
    </row>
    <row r="314" spans="3:12" x14ac:dyDescent="0.3">
      <c r="C314">
        <v>80.469101451017195</v>
      </c>
      <c r="D314">
        <v>69.771240482004941</v>
      </c>
      <c r="E314">
        <v>90.157896238306421</v>
      </c>
      <c r="F314">
        <v>129.2121752256935</v>
      </c>
      <c r="H314" s="33">
        <f t="shared" si="22"/>
        <v>9.3820290203439072</v>
      </c>
      <c r="I314">
        <f t="shared" si="23"/>
        <v>0.45751903599011712</v>
      </c>
      <c r="J314">
        <f t="shared" si="24"/>
        <v>3.1579247661284171</v>
      </c>
      <c r="K314">
        <f t="shared" si="25"/>
        <v>1.5756495486130007</v>
      </c>
      <c r="L314" s="33">
        <f t="shared" si="26"/>
        <v>14.573122371075442</v>
      </c>
    </row>
    <row r="315" spans="3:12" x14ac:dyDescent="0.3">
      <c r="C315">
        <v>81.967418938875198</v>
      </c>
      <c r="D315">
        <v>70.734974037186475</v>
      </c>
      <c r="E315">
        <v>89.646665855834726</v>
      </c>
      <c r="F315">
        <v>130.45675506044063</v>
      </c>
      <c r="H315" s="33">
        <f t="shared" si="22"/>
        <v>39.348378777503967</v>
      </c>
      <c r="I315">
        <f t="shared" si="23"/>
        <v>14.699480743729509</v>
      </c>
      <c r="J315">
        <f t="shared" si="24"/>
        <v>0.70666828833054751</v>
      </c>
      <c r="K315">
        <f t="shared" si="25"/>
        <v>9.1351012088125572</v>
      </c>
      <c r="L315" s="33">
        <f t="shared" si="26"/>
        <v>63.889629018376581</v>
      </c>
    </row>
    <row r="316" spans="3:12" x14ac:dyDescent="0.3">
      <c r="C316">
        <v>80.135007667267928</v>
      </c>
      <c r="D316">
        <v>69.397850842797197</v>
      </c>
      <c r="E316">
        <v>89.337014742195606</v>
      </c>
      <c r="F316">
        <v>131.26668510347372</v>
      </c>
      <c r="H316" s="33">
        <f t="shared" si="22"/>
        <v>2.700153345358558</v>
      </c>
      <c r="I316">
        <f t="shared" si="23"/>
        <v>1.2042983144056052</v>
      </c>
      <c r="J316">
        <f t="shared" si="24"/>
        <v>1.3259705156087875</v>
      </c>
      <c r="K316">
        <f t="shared" si="25"/>
        <v>25.333702069474384</v>
      </c>
      <c r="L316" s="33">
        <f t="shared" si="26"/>
        <v>30.564124244847335</v>
      </c>
    </row>
    <row r="317" spans="3:12" x14ac:dyDescent="0.3">
      <c r="C317">
        <v>78.75685034567141</v>
      </c>
      <c r="D317">
        <v>68.002003849251196</v>
      </c>
      <c r="E317">
        <v>90.130378339235904</v>
      </c>
      <c r="F317">
        <v>128.97914221946849</v>
      </c>
      <c r="H317" s="33">
        <f t="shared" si="22"/>
        <v>2.4862993086571805</v>
      </c>
      <c r="I317">
        <f t="shared" si="23"/>
        <v>3.9959923014976084</v>
      </c>
      <c r="J317">
        <f t="shared" si="24"/>
        <v>2.6075667847180739</v>
      </c>
      <c r="K317">
        <f t="shared" si="25"/>
        <v>2.0417155610630289</v>
      </c>
      <c r="L317" s="33">
        <f t="shared" si="26"/>
        <v>11.131573955935892</v>
      </c>
    </row>
    <row r="318" spans="3:12" x14ac:dyDescent="0.3">
      <c r="C318">
        <v>78.3687939675292</v>
      </c>
      <c r="D318">
        <v>69.875869889365276</v>
      </c>
      <c r="E318">
        <v>90.562001787329791</v>
      </c>
      <c r="F318">
        <v>131.5099885786185</v>
      </c>
      <c r="H318" s="33">
        <f t="shared" si="22"/>
        <v>3.2624120649416</v>
      </c>
      <c r="I318">
        <f t="shared" si="23"/>
        <v>0.24826022126944736</v>
      </c>
      <c r="J318">
        <f t="shared" si="24"/>
        <v>11.240035746595822</v>
      </c>
      <c r="K318">
        <f t="shared" si="25"/>
        <v>30.199771572370082</v>
      </c>
      <c r="L318" s="33">
        <f t="shared" si="26"/>
        <v>44.950479605176952</v>
      </c>
    </row>
    <row r="319" spans="3:12" x14ac:dyDescent="0.3">
      <c r="C319">
        <v>80.001568878360558</v>
      </c>
      <c r="D319">
        <v>69.297806425602175</v>
      </c>
      <c r="E319">
        <v>90.343579813488759</v>
      </c>
      <c r="F319">
        <v>130.0317902504321</v>
      </c>
      <c r="H319" s="33">
        <f t="shared" si="22"/>
        <v>3.1377567211166024E-2</v>
      </c>
      <c r="I319">
        <f t="shared" si="23"/>
        <v>1.4043871487956494</v>
      </c>
      <c r="J319">
        <f t="shared" si="24"/>
        <v>6.871596269775182</v>
      </c>
      <c r="K319">
        <f t="shared" si="25"/>
        <v>0.63580500864190981</v>
      </c>
      <c r="L319" s="33">
        <f t="shared" si="26"/>
        <v>8.9431659944239073</v>
      </c>
    </row>
    <row r="320" spans="3:12" x14ac:dyDescent="0.3">
      <c r="C320">
        <v>80.048250967665808</v>
      </c>
      <c r="D320">
        <v>71.012776920106262</v>
      </c>
      <c r="E320">
        <v>89.850231233722297</v>
      </c>
      <c r="F320">
        <v>130.86567297330475</v>
      </c>
      <c r="H320" s="33">
        <f t="shared" si="22"/>
        <v>0.96501935331616551</v>
      </c>
      <c r="I320">
        <f t="shared" si="23"/>
        <v>20.255538402125239</v>
      </c>
      <c r="J320">
        <f t="shared" si="24"/>
        <v>0.29953753255540505</v>
      </c>
      <c r="K320">
        <f t="shared" si="25"/>
        <v>17.313459466095082</v>
      </c>
      <c r="L320" s="33">
        <f t="shared" si="26"/>
        <v>38.833554754091892</v>
      </c>
    </row>
    <row r="321" spans="3:12" x14ac:dyDescent="0.3">
      <c r="C321">
        <v>79.233386915875599</v>
      </c>
      <c r="D321">
        <v>67.928707671235316</v>
      </c>
      <c r="E321">
        <v>89.891811057750601</v>
      </c>
      <c r="F321">
        <v>131.84313194040442</v>
      </c>
      <c r="H321" s="33">
        <f t="shared" si="22"/>
        <v>1.5332261682488024</v>
      </c>
      <c r="I321">
        <f t="shared" si="23"/>
        <v>4.142584657529369</v>
      </c>
      <c r="J321">
        <f t="shared" si="24"/>
        <v>0.21637788449879736</v>
      </c>
      <c r="K321">
        <f t="shared" si="25"/>
        <v>36.862638808088377</v>
      </c>
      <c r="L321" s="33">
        <f t="shared" si="26"/>
        <v>42.754827518365346</v>
      </c>
    </row>
    <row r="322" spans="3:12" x14ac:dyDescent="0.3">
      <c r="C322">
        <v>80.734371496946551</v>
      </c>
      <c r="D322">
        <v>69.51383415464079</v>
      </c>
      <c r="E322">
        <v>89.028764250397217</v>
      </c>
      <c r="F322">
        <v>129.93044525581354</v>
      </c>
      <c r="H322" s="33">
        <f t="shared" si="22"/>
        <v>14.687429938931018</v>
      </c>
      <c r="I322">
        <f t="shared" si="23"/>
        <v>0.97233169071841985</v>
      </c>
      <c r="J322">
        <f t="shared" si="24"/>
        <v>1.9424714992055669</v>
      </c>
      <c r="K322">
        <f t="shared" si="25"/>
        <v>0.13910948837292381</v>
      </c>
      <c r="L322" s="33">
        <f t="shared" si="26"/>
        <v>17.741342617227929</v>
      </c>
    </row>
    <row r="323" spans="3:12" x14ac:dyDescent="0.3">
      <c r="C323">
        <v>81.162875378213357</v>
      </c>
      <c r="D323">
        <v>69.014319200796308</v>
      </c>
      <c r="E323">
        <v>88.586176843673456</v>
      </c>
      <c r="F323">
        <v>128.97358748057741</v>
      </c>
      <c r="H323" s="33">
        <f t="shared" si="22"/>
        <v>23.257507564267144</v>
      </c>
      <c r="I323">
        <f t="shared" si="23"/>
        <v>1.971361598407384</v>
      </c>
      <c r="J323">
        <f t="shared" si="24"/>
        <v>2.8276463126530871</v>
      </c>
      <c r="K323">
        <f t="shared" si="25"/>
        <v>2.0528250388451852</v>
      </c>
      <c r="L323" s="33">
        <f t="shared" si="26"/>
        <v>30.1093405141728</v>
      </c>
    </row>
    <row r="324" spans="3:12" x14ac:dyDescent="0.3">
      <c r="C324">
        <v>80.424049630964873</v>
      </c>
      <c r="D324">
        <v>69.642917600795045</v>
      </c>
      <c r="E324">
        <v>90.771135546528967</v>
      </c>
      <c r="F324">
        <v>130.15108298612176</v>
      </c>
      <c r="H324" s="33">
        <f t="shared" si="22"/>
        <v>8.4809926192974672</v>
      </c>
      <c r="I324">
        <f t="shared" si="23"/>
        <v>0.71416479840991087</v>
      </c>
      <c r="J324">
        <f t="shared" si="24"/>
        <v>15.422710930579342</v>
      </c>
      <c r="K324">
        <f t="shared" si="25"/>
        <v>3.0216597224352881</v>
      </c>
      <c r="L324" s="33">
        <f t="shared" si="26"/>
        <v>27.639528070722008</v>
      </c>
    </row>
    <row r="325" spans="3:12" x14ac:dyDescent="0.3">
      <c r="C325">
        <v>79.68259771776502</v>
      </c>
      <c r="D325">
        <v>69.210087935352931</v>
      </c>
      <c r="E325">
        <v>89.095161911100149</v>
      </c>
      <c r="F325">
        <v>129.73361241245584</v>
      </c>
      <c r="H325" s="33">
        <f t="shared" si="22"/>
        <v>0.63480456446995959</v>
      </c>
      <c r="I325">
        <f t="shared" si="23"/>
        <v>1.5798241292941384</v>
      </c>
      <c r="J325">
        <f t="shared" si="24"/>
        <v>1.8096761777997017</v>
      </c>
      <c r="K325">
        <f t="shared" si="25"/>
        <v>0.53277517508831806</v>
      </c>
      <c r="L325" s="33">
        <f t="shared" si="26"/>
        <v>4.5570800466521177</v>
      </c>
    </row>
    <row r="326" spans="3:12" x14ac:dyDescent="0.3">
      <c r="C326">
        <v>79.455471879628021</v>
      </c>
      <c r="D326">
        <v>70.689524313202128</v>
      </c>
      <c r="E326">
        <v>89.946004436424118</v>
      </c>
      <c r="F326">
        <v>127.69413989270106</v>
      </c>
      <c r="H326" s="33">
        <f t="shared" si="22"/>
        <v>1.0890562407439575</v>
      </c>
      <c r="I326">
        <f t="shared" si="23"/>
        <v>13.790486264042556</v>
      </c>
      <c r="J326">
        <f t="shared" si="24"/>
        <v>0.10799112715176307</v>
      </c>
      <c r="K326">
        <f t="shared" si="25"/>
        <v>4.6117202145978808</v>
      </c>
      <c r="L326" s="33">
        <f t="shared" si="26"/>
        <v>19.599253846536158</v>
      </c>
    </row>
    <row r="327" spans="3:12" x14ac:dyDescent="0.3">
      <c r="C327">
        <v>78.665603015979286</v>
      </c>
      <c r="D327">
        <v>71.951248123077676</v>
      </c>
      <c r="E327">
        <v>90.018858372641262</v>
      </c>
      <c r="F327">
        <v>129.79676886141533</v>
      </c>
      <c r="H327" s="33">
        <f t="shared" si="22"/>
        <v>2.6687939680414274</v>
      </c>
      <c r="I327">
        <f t="shared" si="23"/>
        <v>39.024962461553514</v>
      </c>
      <c r="J327">
        <f t="shared" si="24"/>
        <v>0.37716745282523334</v>
      </c>
      <c r="K327">
        <f t="shared" si="25"/>
        <v>0.40646227716933936</v>
      </c>
      <c r="L327" s="33">
        <f t="shared" si="26"/>
        <v>42.477386159589514</v>
      </c>
    </row>
    <row r="328" spans="3:12" x14ac:dyDescent="0.3">
      <c r="C328">
        <v>79.826515022505191</v>
      </c>
      <c r="D328">
        <v>71.048028934746981</v>
      </c>
      <c r="E328">
        <v>91.167700247606263</v>
      </c>
      <c r="F328">
        <v>128.56401245779125</v>
      </c>
      <c r="H328" s="33">
        <f t="shared" si="22"/>
        <v>0.34696995498961769</v>
      </c>
      <c r="I328">
        <f t="shared" si="23"/>
        <v>20.960578694939613</v>
      </c>
      <c r="J328">
        <f t="shared" si="24"/>
        <v>23.354004952125251</v>
      </c>
      <c r="K328">
        <f t="shared" si="25"/>
        <v>2.8719750844174996</v>
      </c>
      <c r="L328" s="33">
        <f t="shared" si="26"/>
        <v>47.533528686471982</v>
      </c>
    </row>
    <row r="329" spans="3:12" x14ac:dyDescent="0.3">
      <c r="C329">
        <v>80.125210135593079</v>
      </c>
      <c r="D329">
        <v>71.534353941679001</v>
      </c>
      <c r="E329">
        <v>89.39151166472584</v>
      </c>
      <c r="F329">
        <v>127.64688254799694</v>
      </c>
      <c r="H329" s="33">
        <f t="shared" si="22"/>
        <v>2.5042027118615806</v>
      </c>
      <c r="I329">
        <f t="shared" si="23"/>
        <v>30.687078833580017</v>
      </c>
      <c r="J329">
        <f t="shared" si="24"/>
        <v>1.2169766705483198</v>
      </c>
      <c r="K329">
        <f t="shared" si="25"/>
        <v>4.7062349040061235</v>
      </c>
      <c r="L329" s="33">
        <f t="shared" si="26"/>
        <v>39.114493119996041</v>
      </c>
    </row>
    <row r="330" spans="3:12" x14ac:dyDescent="0.3">
      <c r="C330">
        <v>79.334534095396521</v>
      </c>
      <c r="D330">
        <v>68.117409631959163</v>
      </c>
      <c r="E330">
        <v>89.833344190847129</v>
      </c>
      <c r="F330">
        <v>129.61785306368256</v>
      </c>
      <c r="H330" s="33">
        <f t="shared" si="22"/>
        <v>1.3309318092069589</v>
      </c>
      <c r="I330">
        <f t="shared" si="23"/>
        <v>3.7651807360816747</v>
      </c>
      <c r="J330">
        <f t="shared" si="24"/>
        <v>0.33331161830574274</v>
      </c>
      <c r="K330">
        <f t="shared" si="25"/>
        <v>0.76429387263488024</v>
      </c>
      <c r="L330" s="33">
        <f t="shared" si="26"/>
        <v>6.1937180362292565</v>
      </c>
    </row>
    <row r="331" spans="3:12" x14ac:dyDescent="0.3">
      <c r="C331">
        <v>78.227040123310871</v>
      </c>
      <c r="D331">
        <v>70.513032318849582</v>
      </c>
      <c r="E331">
        <v>91.023051936499542</v>
      </c>
      <c r="F331">
        <v>131.03030743048294</v>
      </c>
      <c r="H331" s="33">
        <f t="shared" si="22"/>
        <v>3.5459197533782572</v>
      </c>
      <c r="I331">
        <f t="shared" si="23"/>
        <v>10.260646376991645</v>
      </c>
      <c r="J331">
        <f t="shared" si="24"/>
        <v>20.461038729990833</v>
      </c>
      <c r="K331">
        <f t="shared" si="25"/>
        <v>20.606148609658703</v>
      </c>
      <c r="L331" s="33">
        <f t="shared" si="26"/>
        <v>54.873753470019437</v>
      </c>
    </row>
    <row r="332" spans="3:12" x14ac:dyDescent="0.3">
      <c r="C332">
        <v>79.427845978061669</v>
      </c>
      <c r="D332">
        <v>69.788483364682179</v>
      </c>
      <c r="E332">
        <v>90.351136577592115</v>
      </c>
      <c r="F332">
        <v>129.8229418451956</v>
      </c>
      <c r="H332" s="33">
        <f t="shared" si="22"/>
        <v>1.1443080438766629</v>
      </c>
      <c r="I332">
        <f t="shared" si="23"/>
        <v>0.42303327063564211</v>
      </c>
      <c r="J332">
        <f t="shared" si="24"/>
        <v>7.0227315518422984</v>
      </c>
      <c r="K332">
        <f t="shared" si="25"/>
        <v>0.35411630960879847</v>
      </c>
      <c r="L332" s="33">
        <f t="shared" si="26"/>
        <v>8.9441891759634018</v>
      </c>
    </row>
    <row r="333" spans="3:12" x14ac:dyDescent="0.3">
      <c r="C333">
        <v>79.719398147135507</v>
      </c>
      <c r="D333">
        <v>71.691710167506244</v>
      </c>
      <c r="E333">
        <v>89.968974861985771</v>
      </c>
      <c r="F333">
        <v>128.24765382072655</v>
      </c>
      <c r="H333" s="33">
        <f t="shared" si="22"/>
        <v>0.56120370572898537</v>
      </c>
      <c r="I333">
        <f t="shared" si="23"/>
        <v>33.834203350124881</v>
      </c>
      <c r="J333">
        <f t="shared" si="24"/>
        <v>6.2050276028458029E-2</v>
      </c>
      <c r="K333">
        <f t="shared" si="25"/>
        <v>3.5046923585468903</v>
      </c>
      <c r="L333" s="33">
        <f t="shared" si="26"/>
        <v>37.962149690429214</v>
      </c>
    </row>
    <row r="334" spans="3:12" x14ac:dyDescent="0.3">
      <c r="C334">
        <v>78.75685034567141</v>
      </c>
      <c r="D334">
        <v>69.074461811687797</v>
      </c>
      <c r="E334">
        <v>91.000714746623999</v>
      </c>
      <c r="F334">
        <v>131.45622834679671</v>
      </c>
      <c r="H334" s="33">
        <f t="shared" si="22"/>
        <v>2.4862993086571805</v>
      </c>
      <c r="I334">
        <f t="shared" si="23"/>
        <v>1.8510763766244054</v>
      </c>
      <c r="J334">
        <f t="shared" si="24"/>
        <v>20.01429493247997</v>
      </c>
      <c r="K334">
        <f t="shared" si="25"/>
        <v>29.124566935934126</v>
      </c>
      <c r="L334" s="33">
        <f t="shared" si="26"/>
        <v>53.476237553695682</v>
      </c>
    </row>
    <row r="335" spans="3:12" x14ac:dyDescent="0.3">
      <c r="C335">
        <v>80.422126049670624</v>
      </c>
      <c r="D335">
        <v>70.496522716275649</v>
      </c>
      <c r="E335">
        <v>91.059624992194586</v>
      </c>
      <c r="F335">
        <v>129.40270413389953</v>
      </c>
      <c r="H335" s="33">
        <f t="shared" si="22"/>
        <v>8.4425209934124723</v>
      </c>
      <c r="I335">
        <f t="shared" si="23"/>
        <v>9.9304543255129829</v>
      </c>
      <c r="J335">
        <f t="shared" si="24"/>
        <v>21.19249984389171</v>
      </c>
      <c r="K335">
        <f t="shared" si="25"/>
        <v>1.1945917322009336</v>
      </c>
      <c r="L335" s="33">
        <f t="shared" si="26"/>
        <v>40.760066895018099</v>
      </c>
    </row>
    <row r="336" spans="3:12" x14ac:dyDescent="0.3">
      <c r="C336">
        <v>81.441371750843246</v>
      </c>
      <c r="D336">
        <v>68.024031810928136</v>
      </c>
      <c r="E336">
        <v>90.570623797102598</v>
      </c>
      <c r="F336">
        <v>129.19441847850976</v>
      </c>
      <c r="H336" s="33">
        <f t="shared" si="22"/>
        <v>28.827435016864911</v>
      </c>
      <c r="I336">
        <f t="shared" si="23"/>
        <v>3.9519363781437278</v>
      </c>
      <c r="J336">
        <f t="shared" si="24"/>
        <v>11.412475942051969</v>
      </c>
      <c r="K336">
        <f t="shared" si="25"/>
        <v>1.6111630429804791</v>
      </c>
      <c r="L336" s="33">
        <f t="shared" si="26"/>
        <v>45.803010380041087</v>
      </c>
    </row>
    <row r="337" spans="3:12" x14ac:dyDescent="0.3">
      <c r="C337">
        <v>80.442621512775077</v>
      </c>
      <c r="D337">
        <v>70.408449523092713</v>
      </c>
      <c r="E337">
        <v>90.108188942249399</v>
      </c>
      <c r="F337">
        <v>131.56510850501945</v>
      </c>
      <c r="H337" s="33">
        <f t="shared" si="22"/>
        <v>8.8524302555015311</v>
      </c>
      <c r="I337">
        <f t="shared" si="23"/>
        <v>8.1689904618542641</v>
      </c>
      <c r="J337">
        <f t="shared" si="24"/>
        <v>2.1637788449879736</v>
      </c>
      <c r="K337">
        <f t="shared" si="25"/>
        <v>31.302170100389048</v>
      </c>
      <c r="L337" s="33">
        <f t="shared" si="26"/>
        <v>50.487369662732817</v>
      </c>
    </row>
    <row r="338" spans="3:12" x14ac:dyDescent="0.3">
      <c r="C338">
        <v>79.652523001714144</v>
      </c>
      <c r="D338">
        <v>70.219816911339876</v>
      </c>
      <c r="E338">
        <v>92.356791810598224</v>
      </c>
      <c r="F338">
        <v>129.23850964478333</v>
      </c>
      <c r="H338" s="33">
        <f t="shared" si="22"/>
        <v>0.6949539965717122</v>
      </c>
      <c r="I338">
        <f t="shared" si="23"/>
        <v>4.3963382267975248</v>
      </c>
      <c r="J338">
        <f t="shared" si="24"/>
        <v>47.135836211964488</v>
      </c>
      <c r="K338">
        <f t="shared" si="25"/>
        <v>1.5229807104333304</v>
      </c>
      <c r="L338" s="33">
        <f t="shared" si="26"/>
        <v>53.750109145767055</v>
      </c>
    </row>
    <row r="339" spans="3:12" x14ac:dyDescent="0.3">
      <c r="C339">
        <v>79.81072733135079</v>
      </c>
      <c r="D339">
        <v>70.219738467421848</v>
      </c>
      <c r="E339">
        <v>91.239843641087646</v>
      </c>
      <c r="F339">
        <v>129.16637534624897</v>
      </c>
      <c r="H339" s="33">
        <f t="shared" si="22"/>
        <v>0.37854533729841933</v>
      </c>
      <c r="I339">
        <f t="shared" si="23"/>
        <v>4.3947693484369665</v>
      </c>
      <c r="J339">
        <f t="shared" si="24"/>
        <v>24.796872821752913</v>
      </c>
      <c r="K339">
        <f t="shared" si="25"/>
        <v>1.6672493075020611</v>
      </c>
      <c r="L339" s="33">
        <f t="shared" si="26"/>
        <v>31.23743681499036</v>
      </c>
    </row>
    <row r="340" spans="3:12" x14ac:dyDescent="0.3">
      <c r="C340">
        <v>80.070781425165478</v>
      </c>
      <c r="D340">
        <v>71.219316345668631</v>
      </c>
      <c r="E340">
        <v>91.057080680766376</v>
      </c>
      <c r="F340">
        <v>130.10411099538032</v>
      </c>
      <c r="H340" s="33">
        <f t="shared" si="22"/>
        <v>1.4156285033095628</v>
      </c>
      <c r="I340">
        <f t="shared" si="23"/>
        <v>24.386326913372613</v>
      </c>
      <c r="J340">
        <f t="shared" si="24"/>
        <v>21.141613615327515</v>
      </c>
      <c r="K340">
        <f t="shared" si="25"/>
        <v>2.0822199076064862</v>
      </c>
      <c r="L340" s="33">
        <f t="shared" si="26"/>
        <v>49.025788939616177</v>
      </c>
    </row>
    <row r="341" spans="3:12" x14ac:dyDescent="0.3">
      <c r="C341">
        <v>80.647719389235135</v>
      </c>
      <c r="D341">
        <v>70.268369149125647</v>
      </c>
      <c r="E341">
        <v>89.356991793320049</v>
      </c>
      <c r="F341">
        <v>131.55657289724331</v>
      </c>
      <c r="H341" s="33">
        <f t="shared" si="22"/>
        <v>12.954387784702703</v>
      </c>
      <c r="I341">
        <f t="shared" si="23"/>
        <v>5.367382982512936</v>
      </c>
      <c r="J341">
        <f t="shared" si="24"/>
        <v>1.2860164133599028</v>
      </c>
      <c r="K341">
        <f t="shared" si="25"/>
        <v>31.13145794486627</v>
      </c>
      <c r="L341" s="33">
        <f t="shared" si="26"/>
        <v>50.739245125441812</v>
      </c>
    </row>
    <row r="342" spans="3:12" x14ac:dyDescent="0.3">
      <c r="C342">
        <v>81.235237050423166</v>
      </c>
      <c r="D342">
        <v>70.018321770767216</v>
      </c>
      <c r="E342">
        <v>90.786051259638043</v>
      </c>
      <c r="F342">
        <v>129.35039340925869</v>
      </c>
      <c r="H342" s="33">
        <f t="shared" si="22"/>
        <v>24.704741008463316</v>
      </c>
      <c r="I342">
        <f t="shared" si="23"/>
        <v>0.36643541534431279</v>
      </c>
      <c r="J342">
        <f t="shared" si="24"/>
        <v>15.721025192760862</v>
      </c>
      <c r="K342">
        <f t="shared" si="25"/>
        <v>1.299213181482628</v>
      </c>
      <c r="L342" s="33">
        <f t="shared" si="26"/>
        <v>42.091414798051119</v>
      </c>
    </row>
    <row r="343" spans="3:12" x14ac:dyDescent="0.3">
      <c r="C343">
        <v>79.987416003932594</v>
      </c>
      <c r="D343">
        <v>69.708400082454318</v>
      </c>
      <c r="E343">
        <v>90.363530716640525</v>
      </c>
      <c r="F343">
        <v>131.92963852896355</v>
      </c>
      <c r="H343" s="33">
        <f t="shared" ref="H343:H406" si="27">IF(C343&gt;$C$19,(C343-$C$19)*$I$11,($C$19-C343)*$H$11)</f>
        <v>2.5167992134811357E-2</v>
      </c>
      <c r="I343">
        <f t="shared" ref="I343:I406" si="28">IF(D343&gt;$D$19,(D343-$D$19)*$I$11,($D$19-D343)*$H$11)</f>
        <v>0.58319983509136364</v>
      </c>
      <c r="J343">
        <f t="shared" ref="J343:J406" si="29">IF(E343&gt;$E$19,(E343-$E$19)*$I$11,($E$19-E343)*$H$11)</f>
        <v>7.2706143328105099</v>
      </c>
      <c r="K343">
        <f t="shared" ref="K343:K406" si="30">IF(F343&gt;$F$19,(F343-$F$19)*$I$11,($F$19-F343)*$H$11)</f>
        <v>38.592770579271019</v>
      </c>
      <c r="L343" s="33">
        <f t="shared" ref="L343:L406" si="31">SUM(H343:K343)</f>
        <v>46.471752739307703</v>
      </c>
    </row>
    <row r="344" spans="3:12" x14ac:dyDescent="0.3">
      <c r="C344">
        <v>80.684003680362366</v>
      </c>
      <c r="D344">
        <v>69.413460045616375</v>
      </c>
      <c r="E344">
        <v>89.559403249804745</v>
      </c>
      <c r="F344">
        <v>130.49808022595244</v>
      </c>
      <c r="H344" s="33">
        <f t="shared" si="27"/>
        <v>13.680073607247323</v>
      </c>
      <c r="I344">
        <f t="shared" si="28"/>
        <v>1.1730799087672494</v>
      </c>
      <c r="J344">
        <f t="shared" si="29"/>
        <v>0.88119350039050914</v>
      </c>
      <c r="K344">
        <f t="shared" si="30"/>
        <v>9.9616045190487057</v>
      </c>
      <c r="L344" s="33">
        <f t="shared" si="31"/>
        <v>25.695951535453787</v>
      </c>
    </row>
    <row r="345" spans="3:12" x14ac:dyDescent="0.3">
      <c r="C345">
        <v>80.214256488106912</v>
      </c>
      <c r="D345">
        <v>70.499726411362644</v>
      </c>
      <c r="E345">
        <v>89.56353008201404</v>
      </c>
      <c r="F345">
        <v>131.00552142612287</v>
      </c>
      <c r="H345" s="33">
        <f t="shared" si="27"/>
        <v>4.28512976213824</v>
      </c>
      <c r="I345">
        <f t="shared" si="28"/>
        <v>9.9945282272528857</v>
      </c>
      <c r="J345">
        <f t="shared" si="29"/>
        <v>0.87293983597191982</v>
      </c>
      <c r="K345">
        <f t="shared" si="30"/>
        <v>20.110428522457369</v>
      </c>
      <c r="L345" s="33">
        <f t="shared" si="31"/>
        <v>35.263026347820414</v>
      </c>
    </row>
    <row r="346" spans="3:12" x14ac:dyDescent="0.3">
      <c r="C346">
        <v>79.591632331430446</v>
      </c>
      <c r="D346">
        <v>70.381735389964888</v>
      </c>
      <c r="E346">
        <v>88.62165168451611</v>
      </c>
      <c r="F346">
        <v>129.44827095532673</v>
      </c>
      <c r="H346" s="33">
        <f t="shared" si="27"/>
        <v>0.81673533713910729</v>
      </c>
      <c r="I346">
        <f t="shared" si="28"/>
        <v>7.6347077992977574</v>
      </c>
      <c r="J346">
        <f t="shared" si="29"/>
        <v>2.7566966309677809</v>
      </c>
      <c r="K346">
        <f t="shared" si="30"/>
        <v>1.1034580893465318</v>
      </c>
      <c r="L346" s="33">
        <f t="shared" si="31"/>
        <v>12.311597856751177</v>
      </c>
    </row>
    <row r="347" spans="3:12" x14ac:dyDescent="0.3">
      <c r="C347">
        <v>80.267417590293917</v>
      </c>
      <c r="D347">
        <v>69.384129978352576</v>
      </c>
      <c r="E347">
        <v>89.143526565603679</v>
      </c>
      <c r="F347">
        <v>129.42432850730256</v>
      </c>
      <c r="H347" s="33">
        <f t="shared" si="27"/>
        <v>5.3483518058783375</v>
      </c>
      <c r="I347">
        <f t="shared" si="28"/>
        <v>1.2317400432948489</v>
      </c>
      <c r="J347">
        <f t="shared" si="29"/>
        <v>1.7129468687926419</v>
      </c>
      <c r="K347">
        <f t="shared" si="30"/>
        <v>1.1513429853948765</v>
      </c>
      <c r="L347" s="33">
        <f t="shared" si="31"/>
        <v>9.4443817033607047</v>
      </c>
    </row>
    <row r="348" spans="3:12" x14ac:dyDescent="0.3">
      <c r="C348">
        <v>80.995300979411695</v>
      </c>
      <c r="D348">
        <v>69.152323653106578</v>
      </c>
      <c r="E348">
        <v>89.542055775236804</v>
      </c>
      <c r="F348">
        <v>130.41486146074021</v>
      </c>
      <c r="H348" s="33">
        <f t="shared" si="27"/>
        <v>19.906019588233903</v>
      </c>
      <c r="I348">
        <f t="shared" si="28"/>
        <v>1.6953526937868446</v>
      </c>
      <c r="J348">
        <f t="shared" si="29"/>
        <v>0.91588844952639192</v>
      </c>
      <c r="K348">
        <f t="shared" si="30"/>
        <v>8.297229214804247</v>
      </c>
      <c r="L348" s="33">
        <f t="shared" si="31"/>
        <v>30.814489946351387</v>
      </c>
    </row>
    <row r="349" spans="3:12" x14ac:dyDescent="0.3">
      <c r="C349">
        <v>80.443211547462852</v>
      </c>
      <c r="D349">
        <v>70.638030996924499</v>
      </c>
      <c r="E349">
        <v>89.560919832219952</v>
      </c>
      <c r="F349">
        <v>131.18050365927047</v>
      </c>
      <c r="H349" s="33">
        <f t="shared" si="27"/>
        <v>8.8642309492570348</v>
      </c>
      <c r="I349">
        <f t="shared" si="28"/>
        <v>12.760619938489981</v>
      </c>
      <c r="J349">
        <f t="shared" si="29"/>
        <v>0.87816033556009643</v>
      </c>
      <c r="K349">
        <f t="shared" si="30"/>
        <v>23.610073185409419</v>
      </c>
      <c r="L349" s="33">
        <f t="shared" si="31"/>
        <v>46.113084408716531</v>
      </c>
    </row>
    <row r="350" spans="3:12" x14ac:dyDescent="0.3">
      <c r="C350">
        <v>79.254664544423576</v>
      </c>
      <c r="D350">
        <v>70.096575831776136</v>
      </c>
      <c r="E350">
        <v>89.488276216652594</v>
      </c>
      <c r="F350">
        <v>129.74974798533367</v>
      </c>
      <c r="H350" s="33">
        <f t="shared" si="27"/>
        <v>1.4906709111528471</v>
      </c>
      <c r="I350">
        <f t="shared" si="28"/>
        <v>1.931516635522712</v>
      </c>
      <c r="J350">
        <f t="shared" si="29"/>
        <v>1.0234475666948128</v>
      </c>
      <c r="K350">
        <f t="shared" si="30"/>
        <v>0.50050402933266014</v>
      </c>
      <c r="L350" s="33">
        <f t="shared" si="31"/>
        <v>4.9461391427030321</v>
      </c>
    </row>
    <row r="351" spans="3:12" x14ac:dyDescent="0.3">
      <c r="C351">
        <v>81.559146767249331</v>
      </c>
      <c r="D351">
        <v>69.031090283097001</v>
      </c>
      <c r="E351">
        <v>89.766290557090542</v>
      </c>
      <c r="F351">
        <v>128.40966211195337</v>
      </c>
      <c r="H351" s="33">
        <f t="shared" si="27"/>
        <v>31.182935344986618</v>
      </c>
      <c r="I351">
        <f t="shared" si="28"/>
        <v>1.9378194338059984</v>
      </c>
      <c r="J351">
        <f t="shared" si="29"/>
        <v>0.46741888581891544</v>
      </c>
      <c r="K351">
        <f t="shared" si="30"/>
        <v>3.1806757760932669</v>
      </c>
      <c r="L351" s="33">
        <f t="shared" si="31"/>
        <v>36.768849440704798</v>
      </c>
    </row>
    <row r="352" spans="3:12" x14ac:dyDescent="0.3">
      <c r="C352">
        <v>80.140877318699495</v>
      </c>
      <c r="D352">
        <v>70.96159510576399</v>
      </c>
      <c r="E352">
        <v>89.984202077030204</v>
      </c>
      <c r="F352">
        <v>130.45344677346293</v>
      </c>
      <c r="H352" s="33">
        <f t="shared" si="27"/>
        <v>2.8175463739898987</v>
      </c>
      <c r="I352">
        <f t="shared" si="28"/>
        <v>19.231902115279809</v>
      </c>
      <c r="J352">
        <f t="shared" si="29"/>
        <v>3.1595845939591527E-2</v>
      </c>
      <c r="K352">
        <f t="shared" si="30"/>
        <v>9.0689354692585766</v>
      </c>
      <c r="L352" s="33">
        <f t="shared" si="31"/>
        <v>31.149979804467876</v>
      </c>
    </row>
    <row r="353" spans="3:12" x14ac:dyDescent="0.3">
      <c r="C353">
        <v>79.310573457478313</v>
      </c>
      <c r="D353">
        <v>70.789391378930304</v>
      </c>
      <c r="E353">
        <v>88.883549778838642</v>
      </c>
      <c r="F353">
        <v>131.19960532174446</v>
      </c>
      <c r="H353" s="33">
        <f t="shared" si="27"/>
        <v>1.3788530850433744</v>
      </c>
      <c r="I353">
        <f t="shared" si="28"/>
        <v>15.787827578606084</v>
      </c>
      <c r="J353">
        <f t="shared" si="29"/>
        <v>2.2329004423227161</v>
      </c>
      <c r="K353">
        <f t="shared" si="30"/>
        <v>23.992106434889138</v>
      </c>
      <c r="L353" s="33">
        <f t="shared" si="31"/>
        <v>43.391687540861312</v>
      </c>
    </row>
    <row r="354" spans="3:12" x14ac:dyDescent="0.3">
      <c r="C354">
        <v>80.486422777612461</v>
      </c>
      <c r="D354">
        <v>70.786676537245512</v>
      </c>
      <c r="E354">
        <v>90.759652039050707</v>
      </c>
      <c r="F354">
        <v>128.75369667279301</v>
      </c>
      <c r="H354" s="33">
        <f t="shared" si="27"/>
        <v>9.7284555522492155</v>
      </c>
      <c r="I354">
        <f t="shared" si="28"/>
        <v>15.73353074491024</v>
      </c>
      <c r="J354">
        <f t="shared" si="29"/>
        <v>15.193040781014133</v>
      </c>
      <c r="K354">
        <f t="shared" si="30"/>
        <v>2.4926066544139758</v>
      </c>
      <c r="L354" s="33">
        <f t="shared" si="31"/>
        <v>43.147633732587565</v>
      </c>
    </row>
    <row r="355" spans="3:12" x14ac:dyDescent="0.3">
      <c r="C355">
        <v>82.172109816456214</v>
      </c>
      <c r="D355">
        <v>70.214490682992619</v>
      </c>
      <c r="E355">
        <v>91.385901668982115</v>
      </c>
      <c r="F355">
        <v>129.26432565189316</v>
      </c>
      <c r="H355" s="33">
        <f t="shared" si="27"/>
        <v>43.442196329124272</v>
      </c>
      <c r="I355">
        <f t="shared" si="28"/>
        <v>4.2898136598523706</v>
      </c>
      <c r="J355">
        <f t="shared" si="29"/>
        <v>27.718033379642293</v>
      </c>
      <c r="K355">
        <f t="shared" si="30"/>
        <v>1.4713486962136813</v>
      </c>
      <c r="L355" s="33">
        <f t="shared" si="31"/>
        <v>76.921392064832617</v>
      </c>
    </row>
    <row r="356" spans="3:12" x14ac:dyDescent="0.3">
      <c r="C356">
        <v>79.395006398117403</v>
      </c>
      <c r="D356">
        <v>69.024093995103613</v>
      </c>
      <c r="E356">
        <v>90.051007873480557</v>
      </c>
      <c r="F356">
        <v>131.75057266460499</v>
      </c>
      <c r="H356" s="33">
        <f t="shared" si="27"/>
        <v>1.2099872037651949</v>
      </c>
      <c r="I356">
        <f t="shared" si="28"/>
        <v>1.9518120097927749</v>
      </c>
      <c r="J356">
        <f t="shared" si="29"/>
        <v>1.0201574696111493</v>
      </c>
      <c r="K356">
        <f t="shared" si="30"/>
        <v>35.011453292099759</v>
      </c>
      <c r="L356" s="33">
        <f t="shared" si="31"/>
        <v>39.193409975268878</v>
      </c>
    </row>
    <row r="357" spans="3:12" x14ac:dyDescent="0.3">
      <c r="C357">
        <v>79.196743374341168</v>
      </c>
      <c r="D357">
        <v>71.042481017066166</v>
      </c>
      <c r="E357">
        <v>89.737494817964034</v>
      </c>
      <c r="F357">
        <v>130.13462226888805</v>
      </c>
      <c r="H357" s="33">
        <f t="shared" si="27"/>
        <v>1.606513251317665</v>
      </c>
      <c r="I357">
        <f t="shared" si="28"/>
        <v>20.849620341323316</v>
      </c>
      <c r="J357">
        <f t="shared" si="29"/>
        <v>0.52501036407193169</v>
      </c>
      <c r="K357">
        <f t="shared" si="30"/>
        <v>2.6924453777610324</v>
      </c>
      <c r="L357" s="33">
        <f t="shared" si="31"/>
        <v>25.673589334473945</v>
      </c>
    </row>
    <row r="358" spans="3:12" x14ac:dyDescent="0.3">
      <c r="C358">
        <v>79.863371158426162</v>
      </c>
      <c r="D358">
        <v>71.291650733037386</v>
      </c>
      <c r="E358">
        <v>91.4119541447144</v>
      </c>
      <c r="F358">
        <v>130.42053784454765</v>
      </c>
      <c r="H358" s="33">
        <f t="shared" si="27"/>
        <v>0.27325768314767629</v>
      </c>
      <c r="I358">
        <f t="shared" si="28"/>
        <v>25.833014660747722</v>
      </c>
      <c r="J358">
        <f t="shared" si="29"/>
        <v>28.239082894288003</v>
      </c>
      <c r="K358">
        <f t="shared" si="30"/>
        <v>8.4107568909530528</v>
      </c>
      <c r="L358" s="33">
        <f t="shared" si="31"/>
        <v>62.756112129136454</v>
      </c>
    </row>
    <row r="359" spans="3:12" x14ac:dyDescent="0.3">
      <c r="C359">
        <v>80.625702796241967</v>
      </c>
      <c r="D359">
        <v>70.686518433212768</v>
      </c>
      <c r="E359">
        <v>90.697891664458439</v>
      </c>
      <c r="F359">
        <v>129.92162429407472</v>
      </c>
      <c r="H359" s="33">
        <f t="shared" si="27"/>
        <v>12.51405592483934</v>
      </c>
      <c r="I359">
        <f t="shared" si="28"/>
        <v>13.730368664255366</v>
      </c>
      <c r="J359">
        <f t="shared" si="29"/>
        <v>13.957833289168775</v>
      </c>
      <c r="K359">
        <f t="shared" si="30"/>
        <v>0.15675141185056418</v>
      </c>
      <c r="L359" s="33">
        <f t="shared" si="31"/>
        <v>40.359009290114045</v>
      </c>
    </row>
    <row r="360" spans="3:12" x14ac:dyDescent="0.3">
      <c r="C360">
        <v>81.798580342438072</v>
      </c>
      <c r="D360">
        <v>70.473119143862277</v>
      </c>
      <c r="E360">
        <v>91.355565473204479</v>
      </c>
      <c r="F360">
        <v>130.63260131355491</v>
      </c>
      <c r="H360" s="33">
        <f t="shared" si="27"/>
        <v>35.971606848761439</v>
      </c>
      <c r="I360">
        <f t="shared" si="28"/>
        <v>9.4623828772455454</v>
      </c>
      <c r="J360">
        <f t="shared" si="29"/>
        <v>27.111309464089572</v>
      </c>
      <c r="K360">
        <f t="shared" si="30"/>
        <v>12.652026271098293</v>
      </c>
      <c r="L360" s="33">
        <f t="shared" si="31"/>
        <v>85.197325461194851</v>
      </c>
    </row>
    <row r="361" spans="3:12" x14ac:dyDescent="0.3">
      <c r="C361">
        <v>79.379592736659106</v>
      </c>
      <c r="D361">
        <v>69.908725385466823</v>
      </c>
      <c r="E361">
        <v>89.395831764559262</v>
      </c>
      <c r="F361">
        <v>128.80212044445216</v>
      </c>
      <c r="H361" s="33">
        <f t="shared" si="27"/>
        <v>1.2408145266817883</v>
      </c>
      <c r="I361">
        <f t="shared" si="28"/>
        <v>0.18254922906635329</v>
      </c>
      <c r="J361">
        <f t="shared" si="29"/>
        <v>1.208336470881477</v>
      </c>
      <c r="K361">
        <f t="shared" si="30"/>
        <v>2.3957591110956855</v>
      </c>
      <c r="L361" s="33">
        <f t="shared" si="31"/>
        <v>5.0274593377253041</v>
      </c>
    </row>
    <row r="362" spans="3:12" x14ac:dyDescent="0.3">
      <c r="C362">
        <v>78.275725374696776</v>
      </c>
      <c r="D362">
        <v>71.093908394977916</v>
      </c>
      <c r="E362">
        <v>90.710635958967032</v>
      </c>
      <c r="F362">
        <v>129.22318693279522</v>
      </c>
      <c r="H362" s="33">
        <f t="shared" si="27"/>
        <v>3.4485492506064475</v>
      </c>
      <c r="I362">
        <f t="shared" si="28"/>
        <v>21.878167899558321</v>
      </c>
      <c r="J362">
        <f t="shared" si="29"/>
        <v>14.212719179340638</v>
      </c>
      <c r="K362">
        <f t="shared" si="30"/>
        <v>1.5536261344095692</v>
      </c>
      <c r="L362" s="33">
        <f t="shared" si="31"/>
        <v>41.093062463914976</v>
      </c>
    </row>
    <row r="363" spans="3:12" x14ac:dyDescent="0.3">
      <c r="C363">
        <v>79.048077370389365</v>
      </c>
      <c r="D363">
        <v>70.260447450273205</v>
      </c>
      <c r="E363">
        <v>91.614644133951515</v>
      </c>
      <c r="F363">
        <v>129.55737848722492</v>
      </c>
      <c r="H363" s="33">
        <f t="shared" si="27"/>
        <v>1.9038452592212707</v>
      </c>
      <c r="I363">
        <f t="shared" si="28"/>
        <v>5.2089490054640919</v>
      </c>
      <c r="J363">
        <f t="shared" si="29"/>
        <v>32.292882679030299</v>
      </c>
      <c r="K363">
        <f t="shared" si="30"/>
        <v>0.88524302555015311</v>
      </c>
      <c r="L363" s="33">
        <f t="shared" si="31"/>
        <v>40.290919969265815</v>
      </c>
    </row>
    <row r="364" spans="3:12" x14ac:dyDescent="0.3">
      <c r="C364">
        <v>79.745799641459598</v>
      </c>
      <c r="D364">
        <v>70.140723841468571</v>
      </c>
      <c r="E364">
        <v>91.059893293131609</v>
      </c>
      <c r="F364">
        <v>130.90760750026675</v>
      </c>
      <c r="H364" s="33">
        <f t="shared" si="27"/>
        <v>0.50840071708080359</v>
      </c>
      <c r="I364">
        <f t="shared" si="28"/>
        <v>2.8144768293714151</v>
      </c>
      <c r="J364">
        <f t="shared" si="29"/>
        <v>21.19786586263217</v>
      </c>
      <c r="K364">
        <f t="shared" si="30"/>
        <v>18.152150005334988</v>
      </c>
      <c r="L364" s="33">
        <f t="shared" si="31"/>
        <v>42.672893414419377</v>
      </c>
    </row>
    <row r="365" spans="3:12" x14ac:dyDescent="0.3">
      <c r="C365">
        <v>79.885345687289373</v>
      </c>
      <c r="D365">
        <v>70.587176600674866</v>
      </c>
      <c r="E365">
        <v>92.101642166962847</v>
      </c>
      <c r="F365">
        <v>128.97215957389562</v>
      </c>
      <c r="H365" s="33">
        <f t="shared" si="27"/>
        <v>0.22930862542125396</v>
      </c>
      <c r="I365">
        <f t="shared" si="28"/>
        <v>11.743532013497315</v>
      </c>
      <c r="J365">
        <f t="shared" si="29"/>
        <v>42.032843339256942</v>
      </c>
      <c r="K365">
        <f t="shared" si="30"/>
        <v>2.0556808522087522</v>
      </c>
      <c r="L365" s="33">
        <f t="shared" si="31"/>
        <v>56.061364830384264</v>
      </c>
    </row>
    <row r="366" spans="3:12" x14ac:dyDescent="0.3">
      <c r="C366">
        <v>80.893037395144347</v>
      </c>
      <c r="D366">
        <v>67.987724782433361</v>
      </c>
      <c r="E366">
        <v>90.846032435219968</v>
      </c>
      <c r="F366">
        <v>129.90841843100497</v>
      </c>
      <c r="H366" s="33">
        <f t="shared" si="27"/>
        <v>17.860747902886942</v>
      </c>
      <c r="I366">
        <f t="shared" si="28"/>
        <v>4.0245504351332784</v>
      </c>
      <c r="J366">
        <f t="shared" si="29"/>
        <v>16.920648704399355</v>
      </c>
      <c r="K366">
        <f t="shared" si="30"/>
        <v>0.18316313799005002</v>
      </c>
      <c r="L366" s="33">
        <f t="shared" si="31"/>
        <v>38.989110180409625</v>
      </c>
    </row>
    <row r="367" spans="3:12" x14ac:dyDescent="0.3">
      <c r="C367">
        <v>79.785666204843437</v>
      </c>
      <c r="D367">
        <v>70.282352630165406</v>
      </c>
      <c r="E367">
        <v>91.943608367582783</v>
      </c>
      <c r="F367">
        <v>131.54713688971242</v>
      </c>
      <c r="H367" s="33">
        <f t="shared" si="27"/>
        <v>0.4286675903131254</v>
      </c>
      <c r="I367">
        <f t="shared" si="28"/>
        <v>5.6470526033081114</v>
      </c>
      <c r="J367">
        <f t="shared" si="29"/>
        <v>38.872167351655662</v>
      </c>
      <c r="K367">
        <f t="shared" si="30"/>
        <v>30.942737794248387</v>
      </c>
      <c r="L367" s="33">
        <f t="shared" si="31"/>
        <v>75.890625339525286</v>
      </c>
    </row>
    <row r="368" spans="3:12" x14ac:dyDescent="0.3">
      <c r="C368">
        <v>79.523540736845462</v>
      </c>
      <c r="D368">
        <v>69.241265413729707</v>
      </c>
      <c r="E368">
        <v>89.699527961638523</v>
      </c>
      <c r="F368">
        <v>130.60977754401392</v>
      </c>
      <c r="H368" s="33">
        <f t="shared" si="27"/>
        <v>0.9529185263090767</v>
      </c>
      <c r="I368">
        <f t="shared" si="28"/>
        <v>1.5174691725405864</v>
      </c>
      <c r="J368">
        <f t="shared" si="29"/>
        <v>0.60094407672295347</v>
      </c>
      <c r="K368">
        <f t="shared" si="30"/>
        <v>12.195550880278461</v>
      </c>
      <c r="L368" s="33">
        <f t="shared" si="31"/>
        <v>15.266882655851077</v>
      </c>
    </row>
    <row r="369" spans="3:12" x14ac:dyDescent="0.3">
      <c r="C369">
        <v>80.706113496562466</v>
      </c>
      <c r="D369">
        <v>69.108672454894986</v>
      </c>
      <c r="E369">
        <v>89.827446117706131</v>
      </c>
      <c r="F369">
        <v>131.12203224489349</v>
      </c>
      <c r="H369" s="33">
        <f t="shared" si="27"/>
        <v>14.122269931249321</v>
      </c>
      <c r="I369">
        <f t="shared" si="28"/>
        <v>1.782655090210028</v>
      </c>
      <c r="J369">
        <f t="shared" si="29"/>
        <v>0.34510776458773762</v>
      </c>
      <c r="K369">
        <f t="shared" si="30"/>
        <v>22.440644897869788</v>
      </c>
      <c r="L369" s="33">
        <f t="shared" si="31"/>
        <v>38.690677683916874</v>
      </c>
    </row>
    <row r="370" spans="3:12" x14ac:dyDescent="0.3">
      <c r="C370">
        <v>80.514341991220135</v>
      </c>
      <c r="D370">
        <v>70.185534645424923</v>
      </c>
      <c r="E370">
        <v>90.864004050527001</v>
      </c>
      <c r="F370">
        <v>131.55863290274283</v>
      </c>
      <c r="H370" s="33">
        <f t="shared" si="27"/>
        <v>10.286839824402705</v>
      </c>
      <c r="I370">
        <f t="shared" si="28"/>
        <v>3.7106929084984586</v>
      </c>
      <c r="J370">
        <f t="shared" si="29"/>
        <v>17.280081010540016</v>
      </c>
      <c r="K370">
        <f t="shared" si="30"/>
        <v>31.172658054856583</v>
      </c>
      <c r="L370" s="33">
        <f t="shared" si="31"/>
        <v>62.450271798297763</v>
      </c>
    </row>
    <row r="371" spans="3:12" x14ac:dyDescent="0.3">
      <c r="C371">
        <v>79.895504743108177</v>
      </c>
      <c r="D371">
        <v>68.420671545318328</v>
      </c>
      <c r="E371">
        <v>90.206903223443078</v>
      </c>
      <c r="F371">
        <v>130.49150912673213</v>
      </c>
      <c r="H371" s="33">
        <f t="shared" si="27"/>
        <v>0.20899051378364675</v>
      </c>
      <c r="I371">
        <f t="shared" si="28"/>
        <v>3.1586569093633443</v>
      </c>
      <c r="J371">
        <f t="shared" si="29"/>
        <v>4.1380644688615575</v>
      </c>
      <c r="K371">
        <f t="shared" si="30"/>
        <v>9.8301825346425176</v>
      </c>
      <c r="L371" s="33">
        <f t="shared" si="31"/>
        <v>17.335894426651066</v>
      </c>
    </row>
    <row r="372" spans="3:12" x14ac:dyDescent="0.3">
      <c r="C372">
        <v>81.044722921506036</v>
      </c>
      <c r="D372">
        <v>70.726381585991476</v>
      </c>
      <c r="E372">
        <v>90.370978341379669</v>
      </c>
      <c r="F372">
        <v>130.66479742599768</v>
      </c>
      <c r="H372" s="33">
        <f t="shared" si="27"/>
        <v>20.894458430120721</v>
      </c>
      <c r="I372">
        <f t="shared" si="28"/>
        <v>14.527631719829515</v>
      </c>
      <c r="J372">
        <f t="shared" si="29"/>
        <v>7.4195668275933713</v>
      </c>
      <c r="K372">
        <f t="shared" si="30"/>
        <v>13.295948519953527</v>
      </c>
      <c r="L372" s="33">
        <f t="shared" si="31"/>
        <v>56.137605497497134</v>
      </c>
    </row>
    <row r="373" spans="3:12" x14ac:dyDescent="0.3">
      <c r="C373">
        <v>81.658422661421355</v>
      </c>
      <c r="D373">
        <v>69.679780557926279</v>
      </c>
      <c r="E373">
        <v>90.046259174268926</v>
      </c>
      <c r="F373">
        <v>130.24630708139739</v>
      </c>
      <c r="H373" s="33">
        <f t="shared" si="27"/>
        <v>33.168453228427097</v>
      </c>
      <c r="I373">
        <f t="shared" si="28"/>
        <v>0.64043888414744288</v>
      </c>
      <c r="J373">
        <f t="shared" si="29"/>
        <v>0.92518348537851125</v>
      </c>
      <c r="K373">
        <f t="shared" si="30"/>
        <v>4.9261416279477999</v>
      </c>
      <c r="L373" s="33">
        <f t="shared" si="31"/>
        <v>39.660217225900851</v>
      </c>
    </row>
    <row r="374" spans="3:12" x14ac:dyDescent="0.3">
      <c r="C374">
        <v>79.639491079506115</v>
      </c>
      <c r="D374">
        <v>69.160622792260256</v>
      </c>
      <c r="E374">
        <v>90.03883315002895</v>
      </c>
      <c r="F374">
        <v>130.43899490265176</v>
      </c>
      <c r="H374" s="33">
        <f t="shared" si="27"/>
        <v>0.72101784098776989</v>
      </c>
      <c r="I374">
        <f t="shared" si="28"/>
        <v>1.6787544154794887</v>
      </c>
      <c r="J374">
        <f t="shared" si="29"/>
        <v>0.77666300057899207</v>
      </c>
      <c r="K374">
        <f t="shared" si="30"/>
        <v>8.77989805303514</v>
      </c>
      <c r="L374" s="33">
        <f t="shared" si="31"/>
        <v>11.956333310081391</v>
      </c>
    </row>
    <row r="375" spans="3:12" x14ac:dyDescent="0.3">
      <c r="C375">
        <v>81.164078184956452</v>
      </c>
      <c r="D375">
        <v>70.519850118507748</v>
      </c>
      <c r="E375">
        <v>90.695065409672679</v>
      </c>
      <c r="F375">
        <v>132.051447154372</v>
      </c>
      <c r="H375" s="33">
        <f t="shared" si="27"/>
        <v>23.281563699129038</v>
      </c>
      <c r="I375">
        <f t="shared" si="28"/>
        <v>10.397002370154951</v>
      </c>
      <c r="J375">
        <f t="shared" si="29"/>
        <v>13.901308193453588</v>
      </c>
      <c r="K375">
        <f t="shared" si="30"/>
        <v>41.028943087439984</v>
      </c>
      <c r="L375" s="33">
        <f t="shared" si="31"/>
        <v>88.60881735017756</v>
      </c>
    </row>
    <row r="376" spans="3:12" x14ac:dyDescent="0.3">
      <c r="C376">
        <v>77.780159901594743</v>
      </c>
      <c r="D376">
        <v>72.261258487123996</v>
      </c>
      <c r="E376">
        <v>90.18934997569886</v>
      </c>
      <c r="F376">
        <v>130.75019215728389</v>
      </c>
      <c r="H376" s="33">
        <f t="shared" si="27"/>
        <v>4.4396801968105137</v>
      </c>
      <c r="I376">
        <f t="shared" si="28"/>
        <v>45.22516974247992</v>
      </c>
      <c r="J376">
        <f t="shared" si="29"/>
        <v>3.7869995139772072</v>
      </c>
      <c r="K376">
        <f t="shared" si="30"/>
        <v>15.00384314567782</v>
      </c>
      <c r="L376" s="33">
        <f t="shared" si="31"/>
        <v>68.455692598945461</v>
      </c>
    </row>
    <row r="377" spans="3:12" x14ac:dyDescent="0.3">
      <c r="C377">
        <v>79.421074790006969</v>
      </c>
      <c r="D377">
        <v>68.886823959765024</v>
      </c>
      <c r="E377">
        <v>89.420803078464814</v>
      </c>
      <c r="F377">
        <v>130.84866314864485</v>
      </c>
      <c r="H377" s="33">
        <f t="shared" si="27"/>
        <v>1.1578504199860618</v>
      </c>
      <c r="I377">
        <f t="shared" si="28"/>
        <v>2.226352080469951</v>
      </c>
      <c r="J377">
        <f t="shared" si="29"/>
        <v>1.1583938430703711</v>
      </c>
      <c r="K377">
        <f t="shared" si="30"/>
        <v>16.973262972896919</v>
      </c>
      <c r="L377" s="33">
        <f t="shared" si="31"/>
        <v>21.515859316423303</v>
      </c>
    </row>
    <row r="378" spans="3:12" x14ac:dyDescent="0.3">
      <c r="C378">
        <v>80.556545955987531</v>
      </c>
      <c r="D378">
        <v>68.514895196422003</v>
      </c>
      <c r="E378">
        <v>90.903917225514306</v>
      </c>
      <c r="F378">
        <v>129.30678427517705</v>
      </c>
      <c r="H378" s="33">
        <f t="shared" si="27"/>
        <v>11.130919119750615</v>
      </c>
      <c r="I378">
        <f t="shared" si="28"/>
        <v>2.9702096071559936</v>
      </c>
      <c r="J378">
        <f t="shared" si="29"/>
        <v>18.078344510286115</v>
      </c>
      <c r="K378">
        <f t="shared" si="30"/>
        <v>1.3864314496458974</v>
      </c>
      <c r="L378" s="33">
        <f t="shared" si="31"/>
        <v>33.565904686838621</v>
      </c>
    </row>
    <row r="379" spans="3:12" x14ac:dyDescent="0.3">
      <c r="C379">
        <v>79.868388158574817</v>
      </c>
      <c r="D379">
        <v>69.787387423566543</v>
      </c>
      <c r="E379">
        <v>89.551126848018612</v>
      </c>
      <c r="F379">
        <v>130.17185470824188</v>
      </c>
      <c r="H379" s="33">
        <f t="shared" si="27"/>
        <v>0.26322368285036646</v>
      </c>
      <c r="I379">
        <f t="shared" si="28"/>
        <v>0.42522515286691487</v>
      </c>
      <c r="J379">
        <f t="shared" si="29"/>
        <v>0.89774630396277644</v>
      </c>
      <c r="K379">
        <f t="shared" si="30"/>
        <v>3.4370941648376174</v>
      </c>
      <c r="L379" s="33">
        <f t="shared" si="31"/>
        <v>5.0232893045176752</v>
      </c>
    </row>
    <row r="380" spans="3:12" x14ac:dyDescent="0.3">
      <c r="C380">
        <v>79.940487214189488</v>
      </c>
      <c r="D380">
        <v>70.29191937755968</v>
      </c>
      <c r="E380">
        <v>90.546481260244036</v>
      </c>
      <c r="F380">
        <v>129.85572230798425</v>
      </c>
      <c r="H380" s="33">
        <f t="shared" si="27"/>
        <v>0.11902557162102312</v>
      </c>
      <c r="I380">
        <f t="shared" si="28"/>
        <v>5.8383875511935912</v>
      </c>
      <c r="J380">
        <f t="shared" si="29"/>
        <v>10.929625204880722</v>
      </c>
      <c r="K380">
        <f t="shared" si="30"/>
        <v>0.28855538403149694</v>
      </c>
      <c r="L380" s="33">
        <f t="shared" si="31"/>
        <v>17.175593711726833</v>
      </c>
    </row>
    <row r="381" spans="3:12" x14ac:dyDescent="0.3">
      <c r="C381">
        <v>79.253350324579515</v>
      </c>
      <c r="D381">
        <v>70.477486992167542</v>
      </c>
      <c r="E381">
        <v>90.127215571410488</v>
      </c>
      <c r="F381">
        <v>129.70472572385916</v>
      </c>
      <c r="H381" s="33">
        <f t="shared" si="27"/>
        <v>1.4932993508409709</v>
      </c>
      <c r="I381">
        <f t="shared" si="28"/>
        <v>9.5497398433508351</v>
      </c>
      <c r="J381">
        <f t="shared" si="29"/>
        <v>2.5443114282097667</v>
      </c>
      <c r="K381">
        <f t="shared" si="30"/>
        <v>0.5905485522816889</v>
      </c>
      <c r="L381" s="33">
        <f t="shared" si="31"/>
        <v>14.177899174683262</v>
      </c>
    </row>
    <row r="382" spans="3:12" x14ac:dyDescent="0.3">
      <c r="C382">
        <v>79.490368054466671</v>
      </c>
      <c r="D382">
        <v>70.921320406632731</v>
      </c>
      <c r="E382">
        <v>89.788169589010067</v>
      </c>
      <c r="F382">
        <v>128.37053110240959</v>
      </c>
      <c r="H382" s="33">
        <f t="shared" si="27"/>
        <v>1.0192638910666574</v>
      </c>
      <c r="I382">
        <f t="shared" si="28"/>
        <v>18.426408132654615</v>
      </c>
      <c r="J382">
        <f t="shared" si="29"/>
        <v>0.42366082197986543</v>
      </c>
      <c r="K382">
        <f t="shared" si="30"/>
        <v>3.2589377951808274</v>
      </c>
      <c r="L382" s="33">
        <f t="shared" si="31"/>
        <v>23.128270640881965</v>
      </c>
    </row>
    <row r="383" spans="3:12" x14ac:dyDescent="0.3">
      <c r="C383">
        <v>78.336106727947481</v>
      </c>
      <c r="D383">
        <v>71.04182163340738</v>
      </c>
      <c r="E383">
        <v>88.615294316550717</v>
      </c>
      <c r="F383">
        <v>130.04717890078609</v>
      </c>
      <c r="H383" s="33">
        <f t="shared" si="27"/>
        <v>3.327786544105038</v>
      </c>
      <c r="I383">
        <f t="shared" si="28"/>
        <v>20.836432668147609</v>
      </c>
      <c r="J383">
        <f t="shared" si="29"/>
        <v>2.7694113668985665</v>
      </c>
      <c r="K383">
        <f t="shared" si="30"/>
        <v>0.94357801572186872</v>
      </c>
      <c r="L383" s="33">
        <f t="shared" si="31"/>
        <v>27.877208594873082</v>
      </c>
    </row>
    <row r="384" spans="3:12" x14ac:dyDescent="0.3">
      <c r="C384">
        <v>79.955501834847382</v>
      </c>
      <c r="D384">
        <v>70.006004938768456</v>
      </c>
      <c r="E384">
        <v>89.87771843734663</v>
      </c>
      <c r="F384">
        <v>129.67284793456201</v>
      </c>
      <c r="H384" s="33">
        <f t="shared" si="27"/>
        <v>8.899633030523546E-2</v>
      </c>
      <c r="I384">
        <f t="shared" si="28"/>
        <v>0.12009877536911517</v>
      </c>
      <c r="J384">
        <f t="shared" si="29"/>
        <v>0.2445631253067404</v>
      </c>
      <c r="K384">
        <f t="shared" si="30"/>
        <v>0.65430413087597117</v>
      </c>
      <c r="L384" s="33">
        <f t="shared" si="31"/>
        <v>1.1079623618570622</v>
      </c>
    </row>
    <row r="385" spans="3:12" x14ac:dyDescent="0.3">
      <c r="C385">
        <v>81.42429144034395</v>
      </c>
      <c r="D385">
        <v>70.28729232326441</v>
      </c>
      <c r="E385">
        <v>89.356709849962499</v>
      </c>
      <c r="F385">
        <v>130.13222916095401</v>
      </c>
      <c r="H385" s="33">
        <f t="shared" si="27"/>
        <v>28.485828806878999</v>
      </c>
      <c r="I385">
        <f t="shared" si="28"/>
        <v>5.7458464652881958</v>
      </c>
      <c r="J385">
        <f t="shared" si="29"/>
        <v>1.286580300075002</v>
      </c>
      <c r="K385">
        <f t="shared" si="30"/>
        <v>2.6445832190802321</v>
      </c>
      <c r="L385" s="33">
        <f t="shared" si="31"/>
        <v>38.162838791322429</v>
      </c>
    </row>
    <row r="386" spans="3:12" x14ac:dyDescent="0.3">
      <c r="C386">
        <v>80.456840325568919</v>
      </c>
      <c r="D386">
        <v>70.627098870609188</v>
      </c>
      <c r="E386">
        <v>90.076611286203843</v>
      </c>
      <c r="F386">
        <v>130.77443473855965</v>
      </c>
      <c r="H386" s="33">
        <f t="shared" si="27"/>
        <v>9.1368065113783814</v>
      </c>
      <c r="I386">
        <f t="shared" si="28"/>
        <v>12.541977412183769</v>
      </c>
      <c r="J386">
        <f t="shared" si="29"/>
        <v>1.5322257240768522</v>
      </c>
      <c r="K386">
        <f t="shared" si="30"/>
        <v>15.488694771192968</v>
      </c>
      <c r="L386" s="33">
        <f t="shared" si="31"/>
        <v>38.699704418831971</v>
      </c>
    </row>
    <row r="387" spans="3:12" x14ac:dyDescent="0.3">
      <c r="C387">
        <v>80.767947767599253</v>
      </c>
      <c r="D387">
        <v>70.17853608369478</v>
      </c>
      <c r="E387">
        <v>90.909110440261429</v>
      </c>
      <c r="F387">
        <v>129.52036773720465</v>
      </c>
      <c r="H387" s="33">
        <f t="shared" si="27"/>
        <v>15.35895535198506</v>
      </c>
      <c r="I387">
        <f t="shared" si="28"/>
        <v>3.5707216738956049</v>
      </c>
      <c r="J387">
        <f t="shared" si="29"/>
        <v>18.182208805228584</v>
      </c>
      <c r="K387">
        <f t="shared" si="30"/>
        <v>0.9592645255906973</v>
      </c>
      <c r="L387" s="33">
        <f t="shared" si="31"/>
        <v>38.071150356699945</v>
      </c>
    </row>
    <row r="388" spans="3:12" x14ac:dyDescent="0.3">
      <c r="C388">
        <v>78.831240191066172</v>
      </c>
      <c r="D388">
        <v>69.396750354208052</v>
      </c>
      <c r="E388">
        <v>90.227660166274291</v>
      </c>
      <c r="F388">
        <v>131.75662535184529</v>
      </c>
      <c r="H388" s="33">
        <f t="shared" si="27"/>
        <v>2.3375196178676561</v>
      </c>
      <c r="I388">
        <f t="shared" si="28"/>
        <v>1.2064992915838957</v>
      </c>
      <c r="J388">
        <f t="shared" si="29"/>
        <v>4.5532033254858106</v>
      </c>
      <c r="K388">
        <f t="shared" si="30"/>
        <v>35.132507036905736</v>
      </c>
      <c r="L388" s="33">
        <f t="shared" si="31"/>
        <v>43.229729271843098</v>
      </c>
    </row>
    <row r="389" spans="3:12" x14ac:dyDescent="0.3">
      <c r="C389">
        <v>79.821076244188589</v>
      </c>
      <c r="D389">
        <v>70.232452066484257</v>
      </c>
      <c r="E389">
        <v>88.526773197227158</v>
      </c>
      <c r="F389">
        <v>128.38309577171458</v>
      </c>
      <c r="H389" s="33">
        <f t="shared" si="27"/>
        <v>0.35784751162282191</v>
      </c>
      <c r="I389">
        <f t="shared" si="28"/>
        <v>4.649041329685133</v>
      </c>
      <c r="J389">
        <f t="shared" si="29"/>
        <v>2.9464536055456847</v>
      </c>
      <c r="K389">
        <f t="shared" si="30"/>
        <v>3.2338084565708414</v>
      </c>
      <c r="L389" s="33">
        <f t="shared" si="31"/>
        <v>11.187150903424481</v>
      </c>
    </row>
    <row r="390" spans="3:12" x14ac:dyDescent="0.3">
      <c r="C390">
        <v>78.919490735715954</v>
      </c>
      <c r="D390">
        <v>70.479546997667057</v>
      </c>
      <c r="E390">
        <v>90.361407046511886</v>
      </c>
      <c r="F390">
        <v>131.10313976620091</v>
      </c>
      <c r="H390" s="33">
        <f t="shared" si="27"/>
        <v>2.1610185285680927</v>
      </c>
      <c r="I390">
        <f t="shared" si="28"/>
        <v>9.5909399533411488</v>
      </c>
      <c r="J390">
        <f t="shared" si="29"/>
        <v>7.2281409302377142</v>
      </c>
      <c r="K390">
        <f t="shared" si="30"/>
        <v>22.062795324018225</v>
      </c>
      <c r="L390" s="33">
        <f t="shared" si="31"/>
        <v>41.042894736165181</v>
      </c>
    </row>
    <row r="391" spans="3:12" x14ac:dyDescent="0.3">
      <c r="C391">
        <v>80.479203663417138</v>
      </c>
      <c r="D391">
        <v>70.788659235695377</v>
      </c>
      <c r="E391">
        <v>89.157898855628446</v>
      </c>
      <c r="F391">
        <v>128.97293946560239</v>
      </c>
      <c r="H391" s="33">
        <f t="shared" si="27"/>
        <v>9.5840732683427632</v>
      </c>
      <c r="I391">
        <f t="shared" si="28"/>
        <v>15.77318471390754</v>
      </c>
      <c r="J391">
        <f t="shared" si="29"/>
        <v>1.6842022887431085</v>
      </c>
      <c r="K391">
        <f t="shared" si="30"/>
        <v>2.0541210687952116</v>
      </c>
      <c r="L391" s="33">
        <f t="shared" si="31"/>
        <v>29.095581339788623</v>
      </c>
    </row>
    <row r="392" spans="3:12" x14ac:dyDescent="0.3">
      <c r="C392">
        <v>80.778157982495031</v>
      </c>
      <c r="D392">
        <v>69.421436314150924</v>
      </c>
      <c r="E392">
        <v>89.452629708684981</v>
      </c>
      <c r="F392">
        <v>130.37294512367225</v>
      </c>
      <c r="H392" s="33">
        <f t="shared" si="27"/>
        <v>15.563159649900626</v>
      </c>
      <c r="I392">
        <f t="shared" si="28"/>
        <v>1.1571273716981523</v>
      </c>
      <c r="J392">
        <f t="shared" si="29"/>
        <v>1.0947405826300383</v>
      </c>
      <c r="K392">
        <f t="shared" si="30"/>
        <v>7.4589024734450504</v>
      </c>
      <c r="L392" s="33">
        <f t="shared" si="31"/>
        <v>25.273930077673867</v>
      </c>
    </row>
    <row r="393" spans="3:12" x14ac:dyDescent="0.3">
      <c r="C393">
        <v>80.037377958506113</v>
      </c>
      <c r="D393">
        <v>68.73399701755261</v>
      </c>
      <c r="E393">
        <v>89.912488419795409</v>
      </c>
      <c r="F393">
        <v>128.06739651830867</v>
      </c>
      <c r="H393" s="33">
        <f t="shared" si="27"/>
        <v>0.74755917012225837</v>
      </c>
      <c r="I393">
        <f t="shared" si="28"/>
        <v>2.532005964894779</v>
      </c>
      <c r="J393">
        <f t="shared" si="29"/>
        <v>0.17502316040918231</v>
      </c>
      <c r="K393">
        <f t="shared" si="30"/>
        <v>3.8652069633826613</v>
      </c>
      <c r="L393" s="33">
        <f t="shared" si="31"/>
        <v>7.319795258808881</v>
      </c>
    </row>
    <row r="394" spans="3:12" x14ac:dyDescent="0.3">
      <c r="C394">
        <v>78.648640939791221</v>
      </c>
      <c r="D394">
        <v>68.632060851377901</v>
      </c>
      <c r="E394">
        <v>90.957472821028205</v>
      </c>
      <c r="F394">
        <v>128.0325810611248</v>
      </c>
      <c r="H394" s="33">
        <f t="shared" si="27"/>
        <v>2.7027181204175577</v>
      </c>
      <c r="I394">
        <f t="shared" si="28"/>
        <v>2.7358782972441986</v>
      </c>
      <c r="J394">
        <f t="shared" si="29"/>
        <v>19.149456420564093</v>
      </c>
      <c r="K394">
        <f t="shared" si="30"/>
        <v>3.9348378777503967</v>
      </c>
      <c r="L394" s="33">
        <f t="shared" si="31"/>
        <v>28.522890715976246</v>
      </c>
    </row>
    <row r="395" spans="3:12" x14ac:dyDescent="0.3">
      <c r="C395">
        <v>82.684537321329117</v>
      </c>
      <c r="D395">
        <v>68.985688307584496</v>
      </c>
      <c r="E395">
        <v>91.162572971225018</v>
      </c>
      <c r="F395">
        <v>131.50190317071974</v>
      </c>
      <c r="H395" s="33">
        <f t="shared" si="27"/>
        <v>53.690746426582336</v>
      </c>
      <c r="I395">
        <f t="shared" si="28"/>
        <v>2.0286233848310076</v>
      </c>
      <c r="J395">
        <f t="shared" si="29"/>
        <v>23.251459424500354</v>
      </c>
      <c r="K395">
        <f t="shared" si="30"/>
        <v>30.038063414394855</v>
      </c>
      <c r="L395" s="33">
        <f t="shared" si="31"/>
        <v>109.00889265030855</v>
      </c>
    </row>
    <row r="396" spans="3:12" x14ac:dyDescent="0.3">
      <c r="C396">
        <v>78.326252352853771</v>
      </c>
      <c r="D396">
        <v>69.518306594836758</v>
      </c>
      <c r="E396">
        <v>89.776106278659427</v>
      </c>
      <c r="F396">
        <v>127.85613908898085</v>
      </c>
      <c r="H396" s="33">
        <f t="shared" si="27"/>
        <v>3.3474952942924574</v>
      </c>
      <c r="I396">
        <f t="shared" si="28"/>
        <v>0.9633868103264831</v>
      </c>
      <c r="J396">
        <f t="shared" si="29"/>
        <v>0.44778744268114679</v>
      </c>
      <c r="K396">
        <f t="shared" si="30"/>
        <v>4.2877218220382929</v>
      </c>
      <c r="L396" s="33">
        <f t="shared" si="31"/>
        <v>9.0463913693383802</v>
      </c>
    </row>
    <row r="397" spans="3:12" x14ac:dyDescent="0.3">
      <c r="C397">
        <v>78.66578946239315</v>
      </c>
      <c r="D397">
        <v>71.755552148097195</v>
      </c>
      <c r="E397">
        <v>91.92571860679891</v>
      </c>
      <c r="F397">
        <v>129.44568571663694</v>
      </c>
      <c r="H397" s="33">
        <f t="shared" si="27"/>
        <v>2.6684210752137005</v>
      </c>
      <c r="I397">
        <f t="shared" si="28"/>
        <v>35.111042961943895</v>
      </c>
      <c r="J397">
        <f t="shared" si="29"/>
        <v>38.514372135978192</v>
      </c>
      <c r="K397">
        <f t="shared" si="30"/>
        <v>1.1086285667261109</v>
      </c>
      <c r="L397" s="33">
        <f t="shared" si="31"/>
        <v>77.402464739861898</v>
      </c>
    </row>
    <row r="398" spans="3:12" x14ac:dyDescent="0.3">
      <c r="C398">
        <v>79.497150611205143</v>
      </c>
      <c r="D398">
        <v>69.900041984801646</v>
      </c>
      <c r="E398">
        <v>90.653105871606385</v>
      </c>
      <c r="F398">
        <v>130.14590114005841</v>
      </c>
      <c r="H398" s="33">
        <f t="shared" si="27"/>
        <v>1.0056987775897142</v>
      </c>
      <c r="I398">
        <f t="shared" si="28"/>
        <v>0.19991603039670736</v>
      </c>
      <c r="J398">
        <f t="shared" si="29"/>
        <v>13.062117432127707</v>
      </c>
      <c r="K398">
        <f t="shared" si="30"/>
        <v>2.918022801168263</v>
      </c>
      <c r="L398" s="33">
        <f t="shared" si="31"/>
        <v>17.185755041282391</v>
      </c>
    </row>
    <row r="399" spans="3:12" x14ac:dyDescent="0.3">
      <c r="C399">
        <v>79.480937731277663</v>
      </c>
      <c r="D399">
        <v>70.591180651099421</v>
      </c>
      <c r="E399">
        <v>90.624771701041027</v>
      </c>
      <c r="F399">
        <v>128.0197026161477</v>
      </c>
      <c r="H399" s="33">
        <f t="shared" si="27"/>
        <v>1.0381245374446735</v>
      </c>
      <c r="I399">
        <f t="shared" si="28"/>
        <v>11.823613021988422</v>
      </c>
      <c r="J399">
        <f t="shared" si="29"/>
        <v>12.495434020820539</v>
      </c>
      <c r="K399">
        <f t="shared" si="30"/>
        <v>3.9605947677046061</v>
      </c>
      <c r="L399" s="33">
        <f t="shared" si="31"/>
        <v>29.317766347958241</v>
      </c>
    </row>
    <row r="400" spans="3:12" x14ac:dyDescent="0.3">
      <c r="C400">
        <v>80.918166733754333</v>
      </c>
      <c r="D400">
        <v>71.551711648062337</v>
      </c>
      <c r="E400">
        <v>89.643488308720407</v>
      </c>
      <c r="F400">
        <v>130.51906226872234</v>
      </c>
      <c r="H400" s="33">
        <f t="shared" si="27"/>
        <v>18.363334675086662</v>
      </c>
      <c r="I400">
        <f t="shared" si="28"/>
        <v>31.034232961246744</v>
      </c>
      <c r="J400">
        <f t="shared" si="29"/>
        <v>0.71302338255918585</v>
      </c>
      <c r="K400">
        <f t="shared" si="30"/>
        <v>10.381245374446735</v>
      </c>
      <c r="L400" s="33">
        <f t="shared" si="31"/>
        <v>60.491836393339327</v>
      </c>
    </row>
    <row r="401" spans="3:12" x14ac:dyDescent="0.3">
      <c r="C401">
        <v>81.744583641993813</v>
      </c>
      <c r="D401">
        <v>71.301580141443992</v>
      </c>
      <c r="E401">
        <v>90.44743501348421</v>
      </c>
      <c r="F401">
        <v>129.49584776004485</v>
      </c>
      <c r="H401" s="33">
        <f t="shared" si="27"/>
        <v>34.891672839876264</v>
      </c>
      <c r="I401">
        <f t="shared" si="28"/>
        <v>26.031602828879841</v>
      </c>
      <c r="J401">
        <f t="shared" si="29"/>
        <v>8.9487002696841955</v>
      </c>
      <c r="K401">
        <f t="shared" si="30"/>
        <v>1.0083044799102936</v>
      </c>
      <c r="L401" s="33">
        <f t="shared" si="31"/>
        <v>70.880280418350594</v>
      </c>
    </row>
    <row r="402" spans="3:12" x14ac:dyDescent="0.3">
      <c r="C402">
        <v>79.628776095050853</v>
      </c>
      <c r="D402">
        <v>70.784386884333799</v>
      </c>
      <c r="E402">
        <v>90.496695520268986</v>
      </c>
      <c r="F402">
        <v>130.10880398804147</v>
      </c>
      <c r="H402" s="33">
        <f t="shared" si="27"/>
        <v>0.74244780989829451</v>
      </c>
      <c r="I402">
        <f t="shared" si="28"/>
        <v>15.687737686675973</v>
      </c>
      <c r="J402">
        <f t="shared" si="29"/>
        <v>9.93391040537972</v>
      </c>
      <c r="K402">
        <f t="shared" si="30"/>
        <v>2.1760797608294524</v>
      </c>
      <c r="L402" s="33">
        <f t="shared" si="31"/>
        <v>28.54017566278344</v>
      </c>
    </row>
    <row r="403" spans="3:12" x14ac:dyDescent="0.3">
      <c r="C403">
        <v>80.095423047241638</v>
      </c>
      <c r="D403">
        <v>69.960401737553184</v>
      </c>
      <c r="E403">
        <v>90.480318931295187</v>
      </c>
      <c r="F403">
        <v>129.38671749077912</v>
      </c>
      <c r="H403" s="33">
        <f t="shared" si="27"/>
        <v>1.9084609448327683</v>
      </c>
      <c r="I403">
        <f t="shared" si="28"/>
        <v>7.9196524893632159E-2</v>
      </c>
      <c r="J403">
        <f t="shared" si="29"/>
        <v>9.6063786259037443</v>
      </c>
      <c r="K403">
        <f t="shared" si="30"/>
        <v>1.2265650184417609</v>
      </c>
      <c r="L403" s="33">
        <f t="shared" si="31"/>
        <v>12.820601114071906</v>
      </c>
    </row>
    <row r="404" spans="3:12" x14ac:dyDescent="0.3">
      <c r="C404">
        <v>81.762377905834001</v>
      </c>
      <c r="D404">
        <v>71.238854565599468</v>
      </c>
      <c r="E404">
        <v>89.581884821964195</v>
      </c>
      <c r="F404">
        <v>129.77485117597098</v>
      </c>
      <c r="H404" s="33">
        <f t="shared" si="27"/>
        <v>35.247558116680011</v>
      </c>
      <c r="I404">
        <f t="shared" si="28"/>
        <v>24.777091311989352</v>
      </c>
      <c r="J404">
        <f t="shared" si="29"/>
        <v>0.83623035607161</v>
      </c>
      <c r="K404">
        <f t="shared" si="30"/>
        <v>0.45029764805804007</v>
      </c>
      <c r="L404" s="33">
        <f t="shared" si="31"/>
        <v>61.311177432799013</v>
      </c>
    </row>
    <row r="405" spans="3:12" x14ac:dyDescent="0.3">
      <c r="C405">
        <v>78.172124833217822</v>
      </c>
      <c r="D405">
        <v>68.249427335395012</v>
      </c>
      <c r="E405">
        <v>90.355778411176289</v>
      </c>
      <c r="F405">
        <v>130.37491417970159</v>
      </c>
      <c r="H405" s="33">
        <f t="shared" si="27"/>
        <v>3.655750333564356</v>
      </c>
      <c r="I405">
        <f t="shared" si="28"/>
        <v>3.5011453292099759</v>
      </c>
      <c r="J405">
        <f t="shared" si="29"/>
        <v>7.11556822352577</v>
      </c>
      <c r="K405">
        <f t="shared" si="30"/>
        <v>7.4982835940318182</v>
      </c>
      <c r="L405" s="33">
        <f t="shared" si="31"/>
        <v>21.77074748033192</v>
      </c>
    </row>
    <row r="406" spans="3:12" x14ac:dyDescent="0.3">
      <c r="C406">
        <v>80.059972080634907</v>
      </c>
      <c r="D406">
        <v>69.402887169708265</v>
      </c>
      <c r="E406">
        <v>91.585481186339166</v>
      </c>
      <c r="F406">
        <v>130.26202997105429</v>
      </c>
      <c r="H406" s="33">
        <f t="shared" si="27"/>
        <v>1.1994416126981378</v>
      </c>
      <c r="I406">
        <f t="shared" si="28"/>
        <v>1.19422566058347</v>
      </c>
      <c r="J406">
        <f t="shared" si="29"/>
        <v>31.70962372678332</v>
      </c>
      <c r="K406">
        <f t="shared" si="30"/>
        <v>5.2405994210857898</v>
      </c>
      <c r="L406" s="33">
        <f t="shared" si="31"/>
        <v>39.343890421150718</v>
      </c>
    </row>
    <row r="407" spans="3:12" x14ac:dyDescent="0.3">
      <c r="C407">
        <v>79.248184394673444</v>
      </c>
      <c r="D407">
        <v>70.388160970032914</v>
      </c>
      <c r="E407">
        <v>91.487182998971548</v>
      </c>
      <c r="F407">
        <v>129.55695784592535</v>
      </c>
      <c r="H407" s="33">
        <f t="shared" ref="H407:H470" si="32">IF(C407&gt;$C$19,(C407-$C$19)*$I$11,($C$19-C407)*$H$11)</f>
        <v>1.5036312106531113</v>
      </c>
      <c r="I407">
        <f t="shared" ref="I407:I470" si="33">IF(D407&gt;$D$19,(D407-$D$19)*$I$11,($D$19-D407)*$H$11)</f>
        <v>7.7632194006582722</v>
      </c>
      <c r="J407">
        <f t="shared" ref="J407:J470" si="34">IF(E407&gt;$E$19,(E407-$E$19)*$I$11,($E$19-E407)*$H$11)</f>
        <v>29.743659979430959</v>
      </c>
      <c r="K407">
        <f t="shared" ref="K407:K470" si="35">IF(F407&gt;$F$19,(F407-$F$19)*$I$11,($F$19-F407)*$H$11)</f>
        <v>0.88608430814929307</v>
      </c>
      <c r="L407" s="33">
        <f t="shared" ref="L407:L470" si="36">SUM(H407:K407)</f>
        <v>39.896594898891635</v>
      </c>
    </row>
    <row r="408" spans="3:12" x14ac:dyDescent="0.3">
      <c r="C408">
        <v>79.183150976023171</v>
      </c>
      <c r="D408">
        <v>69.821775418240577</v>
      </c>
      <c r="E408">
        <v>89.114347701834049</v>
      </c>
      <c r="F408">
        <v>128.74416062084492</v>
      </c>
      <c r="H408" s="33">
        <f t="shared" si="32"/>
        <v>1.6336980479536578</v>
      </c>
      <c r="I408">
        <f t="shared" si="33"/>
        <v>0.35644916351884604</v>
      </c>
      <c r="J408">
        <f t="shared" si="34"/>
        <v>1.7713045963319018</v>
      </c>
      <c r="K408">
        <f t="shared" si="35"/>
        <v>2.5116787583101541</v>
      </c>
      <c r="L408" s="33">
        <f t="shared" si="36"/>
        <v>6.2731305661145598</v>
      </c>
    </row>
    <row r="409" spans="3:12" x14ac:dyDescent="0.3">
      <c r="C409">
        <v>80.487025317852385</v>
      </c>
      <c r="D409">
        <v>69.817655407241546</v>
      </c>
      <c r="E409">
        <v>89.955425664666109</v>
      </c>
      <c r="F409">
        <v>129.11999566393206</v>
      </c>
      <c r="H409" s="33">
        <f t="shared" si="32"/>
        <v>9.7405063570477068</v>
      </c>
      <c r="I409">
        <f t="shared" si="33"/>
        <v>0.36468918551690876</v>
      </c>
      <c r="J409">
        <f t="shared" si="34"/>
        <v>8.9148670667782426E-2</v>
      </c>
      <c r="K409">
        <f t="shared" si="35"/>
        <v>1.7600086721358821</v>
      </c>
      <c r="L409" s="33">
        <f t="shared" si="36"/>
        <v>11.95435288536828</v>
      </c>
    </row>
    <row r="410" spans="3:12" x14ac:dyDescent="0.3">
      <c r="C410">
        <v>79.808858319738647</v>
      </c>
      <c r="D410">
        <v>70.78012703852437</v>
      </c>
      <c r="E410">
        <v>90.632041974313324</v>
      </c>
      <c r="F410">
        <v>129.72480395626917</v>
      </c>
      <c r="H410" s="33">
        <f t="shared" si="32"/>
        <v>0.38228336052270606</v>
      </c>
      <c r="I410">
        <f t="shared" si="33"/>
        <v>15.602540770487394</v>
      </c>
      <c r="J410">
        <f t="shared" si="34"/>
        <v>12.640839486266486</v>
      </c>
      <c r="K410">
        <f t="shared" si="35"/>
        <v>0.55039208746165968</v>
      </c>
      <c r="L410" s="33">
        <f t="shared" si="36"/>
        <v>29.176055704738246</v>
      </c>
    </row>
    <row r="411" spans="3:12" x14ac:dyDescent="0.3">
      <c r="C411">
        <v>81.024084212986054</v>
      </c>
      <c r="D411">
        <v>68.832904566370416</v>
      </c>
      <c r="E411">
        <v>88.595058059436269</v>
      </c>
      <c r="F411">
        <v>130.98010104920832</v>
      </c>
      <c r="H411" s="33">
        <f t="shared" si="32"/>
        <v>20.481684259721078</v>
      </c>
      <c r="I411">
        <f t="shared" si="33"/>
        <v>2.3341908672591671</v>
      </c>
      <c r="J411">
        <f t="shared" si="34"/>
        <v>2.8098838811274618</v>
      </c>
      <c r="K411">
        <f t="shared" si="35"/>
        <v>19.602020984166302</v>
      </c>
      <c r="L411" s="33">
        <f t="shared" si="36"/>
        <v>45.227779992274009</v>
      </c>
    </row>
    <row r="412" spans="3:12" x14ac:dyDescent="0.3">
      <c r="C412">
        <v>80.459558577858843</v>
      </c>
      <c r="D412">
        <v>68.201028574840166</v>
      </c>
      <c r="E412">
        <v>90.467053951069829</v>
      </c>
      <c r="F412">
        <v>130.21136088435014</v>
      </c>
      <c r="H412" s="33">
        <f t="shared" si="32"/>
        <v>9.1911715571768582</v>
      </c>
      <c r="I412">
        <f t="shared" si="33"/>
        <v>3.5979428503196687</v>
      </c>
      <c r="J412">
        <f t="shared" si="34"/>
        <v>9.3410790213965811</v>
      </c>
      <c r="K412">
        <f t="shared" si="35"/>
        <v>4.2272176870028488</v>
      </c>
      <c r="L412" s="33">
        <f t="shared" si="36"/>
        <v>26.357411115895957</v>
      </c>
    </row>
    <row r="413" spans="3:12" x14ac:dyDescent="0.3">
      <c r="C413">
        <v>79.69704617797106</v>
      </c>
      <c r="D413">
        <v>70.175737113750074</v>
      </c>
      <c r="E413">
        <v>90.362958871846786</v>
      </c>
      <c r="F413">
        <v>131.2207647159812</v>
      </c>
      <c r="H413" s="33">
        <f t="shared" si="32"/>
        <v>0.60590764405787922</v>
      </c>
      <c r="I413">
        <f t="shared" si="33"/>
        <v>3.5147422750014812</v>
      </c>
      <c r="J413">
        <f t="shared" si="34"/>
        <v>7.2591774369357154</v>
      </c>
      <c r="K413">
        <f t="shared" si="35"/>
        <v>24.415294319624081</v>
      </c>
      <c r="L413" s="33">
        <f t="shared" si="36"/>
        <v>35.795121675619157</v>
      </c>
    </row>
    <row r="414" spans="3:12" x14ac:dyDescent="0.3">
      <c r="C414">
        <v>80.578472736378899</v>
      </c>
      <c r="D414">
        <v>69.788796003485913</v>
      </c>
      <c r="E414">
        <v>87.713366610696539</v>
      </c>
      <c r="F414">
        <v>129.88757849678223</v>
      </c>
      <c r="H414" s="33">
        <f t="shared" si="32"/>
        <v>11.569454727577977</v>
      </c>
      <c r="I414">
        <f t="shared" si="33"/>
        <v>0.42240799302817322</v>
      </c>
      <c r="J414">
        <f t="shared" si="34"/>
        <v>4.5732667786069214</v>
      </c>
      <c r="K414">
        <f t="shared" si="35"/>
        <v>0.22484300643554889</v>
      </c>
      <c r="L414" s="33">
        <f t="shared" si="36"/>
        <v>16.78997250564862</v>
      </c>
    </row>
    <row r="415" spans="3:12" x14ac:dyDescent="0.3">
      <c r="C415">
        <v>80.72578359322506</v>
      </c>
      <c r="D415">
        <v>69.146723439480411</v>
      </c>
      <c r="E415">
        <v>87.974809957668185</v>
      </c>
      <c r="F415">
        <v>129.8559542291332</v>
      </c>
      <c r="H415" s="33">
        <f t="shared" si="32"/>
        <v>14.515671864501201</v>
      </c>
      <c r="I415">
        <f t="shared" si="33"/>
        <v>1.7065531210391782</v>
      </c>
      <c r="J415">
        <f t="shared" si="34"/>
        <v>4.0503800846636295</v>
      </c>
      <c r="K415">
        <f t="shared" si="35"/>
        <v>0.28809154173359275</v>
      </c>
      <c r="L415" s="33">
        <f t="shared" si="36"/>
        <v>20.560696611937601</v>
      </c>
    </row>
    <row r="416" spans="3:12" x14ac:dyDescent="0.3">
      <c r="C416">
        <v>80.582911070523551</v>
      </c>
      <c r="D416">
        <v>69.757160367153119</v>
      </c>
      <c r="E416">
        <v>89.953970473143272</v>
      </c>
      <c r="F416">
        <v>130.05920583134866</v>
      </c>
      <c r="H416" s="33">
        <f t="shared" si="32"/>
        <v>11.658221410471015</v>
      </c>
      <c r="I416">
        <f t="shared" si="33"/>
        <v>0.48567926569376141</v>
      </c>
      <c r="J416">
        <f t="shared" si="34"/>
        <v>9.2059053713455796E-2</v>
      </c>
      <c r="K416">
        <f t="shared" si="35"/>
        <v>1.1841166269732639</v>
      </c>
      <c r="L416" s="33">
        <f t="shared" si="36"/>
        <v>13.420076356851496</v>
      </c>
    </row>
    <row r="417" spans="3:12" x14ac:dyDescent="0.3">
      <c r="C417">
        <v>79.286998217939981</v>
      </c>
      <c r="D417">
        <v>68.767711986147333</v>
      </c>
      <c r="E417">
        <v>90.217310116568115</v>
      </c>
      <c r="F417">
        <v>129.59288061290863</v>
      </c>
      <c r="H417" s="33">
        <f t="shared" si="32"/>
        <v>1.4260035641200375</v>
      </c>
      <c r="I417">
        <f t="shared" si="33"/>
        <v>2.4645760277053341</v>
      </c>
      <c r="J417">
        <f t="shared" si="34"/>
        <v>4.3462023313622922</v>
      </c>
      <c r="K417">
        <f t="shared" si="35"/>
        <v>0.8142387741827406</v>
      </c>
      <c r="L417" s="33">
        <f t="shared" si="36"/>
        <v>9.0510206973704044</v>
      </c>
    </row>
    <row r="418" spans="3:12" x14ac:dyDescent="0.3">
      <c r="C418">
        <v>78.200646587065421</v>
      </c>
      <c r="D418">
        <v>70.247096068051178</v>
      </c>
      <c r="E418">
        <v>89.855335772735998</v>
      </c>
      <c r="F418">
        <v>130.33507149055367</v>
      </c>
      <c r="H418" s="33">
        <f t="shared" si="32"/>
        <v>3.5987068258691579</v>
      </c>
      <c r="I418">
        <f t="shared" si="33"/>
        <v>4.9419213610235602</v>
      </c>
      <c r="J418">
        <f t="shared" si="34"/>
        <v>0.28932845452800393</v>
      </c>
      <c r="K418">
        <f t="shared" si="35"/>
        <v>6.7014298110734671</v>
      </c>
      <c r="L418" s="33">
        <f t="shared" si="36"/>
        <v>15.531386452494189</v>
      </c>
    </row>
    <row r="419" spans="3:12" x14ac:dyDescent="0.3">
      <c r="C419">
        <v>80.282831251752214</v>
      </c>
      <c r="D419">
        <v>68.534431142616086</v>
      </c>
      <c r="E419">
        <v>92.353117452003062</v>
      </c>
      <c r="F419">
        <v>129.32168748273398</v>
      </c>
      <c r="H419" s="33">
        <f t="shared" si="32"/>
        <v>5.6566250350442715</v>
      </c>
      <c r="I419">
        <f t="shared" si="33"/>
        <v>2.9311377147678286</v>
      </c>
      <c r="J419">
        <f t="shared" si="34"/>
        <v>47.062349040061235</v>
      </c>
      <c r="K419">
        <f t="shared" si="35"/>
        <v>1.3566250345320441</v>
      </c>
      <c r="L419" s="33">
        <f t="shared" si="36"/>
        <v>57.00673682440538</v>
      </c>
    </row>
    <row r="420" spans="3:12" x14ac:dyDescent="0.3">
      <c r="C420">
        <v>79.751483983345679</v>
      </c>
      <c r="D420">
        <v>68.608882378903218</v>
      </c>
      <c r="E420">
        <v>90.28968543119845</v>
      </c>
      <c r="F420">
        <v>129.43324382911669</v>
      </c>
      <c r="H420" s="33">
        <f t="shared" si="32"/>
        <v>0.49703203330864199</v>
      </c>
      <c r="I420">
        <f t="shared" si="33"/>
        <v>2.7822352421935648</v>
      </c>
      <c r="J420">
        <f t="shared" si="34"/>
        <v>5.7937086239689961</v>
      </c>
      <c r="K420">
        <f t="shared" si="35"/>
        <v>1.1335123417666182</v>
      </c>
      <c r="L420" s="33">
        <f t="shared" si="36"/>
        <v>10.206488241237821</v>
      </c>
    </row>
    <row r="421" spans="3:12" x14ac:dyDescent="0.3">
      <c r="C421">
        <v>80.537975211045705</v>
      </c>
      <c r="D421">
        <v>69.997743316271226</v>
      </c>
      <c r="E421">
        <v>90.198626821656944</v>
      </c>
      <c r="F421">
        <v>131.90511855180375</v>
      </c>
      <c r="H421" s="33">
        <f t="shared" si="32"/>
        <v>10.759504220914096</v>
      </c>
      <c r="I421">
        <f t="shared" si="33"/>
        <v>4.5133674575481564E-3</v>
      </c>
      <c r="J421">
        <f t="shared" si="34"/>
        <v>3.9725364331388846</v>
      </c>
      <c r="K421">
        <f t="shared" si="35"/>
        <v>38.102371036075056</v>
      </c>
      <c r="L421" s="33">
        <f t="shared" si="36"/>
        <v>52.838925057585584</v>
      </c>
    </row>
    <row r="422" spans="3:12" x14ac:dyDescent="0.3">
      <c r="C422">
        <v>80.255306531471433</v>
      </c>
      <c r="D422">
        <v>69.021752046246547</v>
      </c>
      <c r="E422">
        <v>90.725684685676242</v>
      </c>
      <c r="F422">
        <v>130.33620381145738</v>
      </c>
      <c r="H422" s="33">
        <f t="shared" si="32"/>
        <v>5.1061306294286624</v>
      </c>
      <c r="I422">
        <f t="shared" si="33"/>
        <v>1.9564959075069055</v>
      </c>
      <c r="J422">
        <f t="shared" si="34"/>
        <v>14.513693713524844</v>
      </c>
      <c r="K422">
        <f t="shared" si="35"/>
        <v>6.724076229147613</v>
      </c>
      <c r="L422" s="33">
        <f t="shared" si="36"/>
        <v>28.300396479608025</v>
      </c>
    </row>
    <row r="423" spans="3:12" x14ac:dyDescent="0.3">
      <c r="C423">
        <v>80.040363374864683</v>
      </c>
      <c r="D423">
        <v>68.884261458442779</v>
      </c>
      <c r="E423">
        <v>90.534353148395894</v>
      </c>
      <c r="F423">
        <v>130.45412434701575</v>
      </c>
      <c r="H423" s="33">
        <f t="shared" si="32"/>
        <v>0.8072674972936511</v>
      </c>
      <c r="I423">
        <f t="shared" si="33"/>
        <v>2.2314770831144415</v>
      </c>
      <c r="J423">
        <f t="shared" si="34"/>
        <v>10.687062967917882</v>
      </c>
      <c r="K423">
        <f t="shared" si="35"/>
        <v>9.0824869403149933</v>
      </c>
      <c r="L423" s="33">
        <f t="shared" si="36"/>
        <v>22.808294488640968</v>
      </c>
    </row>
    <row r="424" spans="3:12" x14ac:dyDescent="0.3">
      <c r="C424">
        <v>79.767940153105883</v>
      </c>
      <c r="D424">
        <v>70.545149987374316</v>
      </c>
      <c r="E424">
        <v>90.419200887336046</v>
      </c>
      <c r="F424">
        <v>129.83962425176287</v>
      </c>
      <c r="H424" s="33">
        <f t="shared" si="32"/>
        <v>0.46411969378823414</v>
      </c>
      <c r="I424">
        <f t="shared" si="33"/>
        <v>10.902999747486319</v>
      </c>
      <c r="J424">
        <f t="shared" si="34"/>
        <v>8.3840177467209287</v>
      </c>
      <c r="K424">
        <f t="shared" si="35"/>
        <v>0.3207514964742586</v>
      </c>
      <c r="L424" s="33">
        <f t="shared" si="36"/>
        <v>20.071888684469741</v>
      </c>
    </row>
    <row r="425" spans="3:12" x14ac:dyDescent="0.3">
      <c r="C425">
        <v>81.895350578706712</v>
      </c>
      <c r="D425">
        <v>71.531379894004203</v>
      </c>
      <c r="E425">
        <v>89.021506482677069</v>
      </c>
      <c r="F425">
        <v>128.66354755795328</v>
      </c>
      <c r="H425" s="33">
        <f t="shared" si="32"/>
        <v>37.907011574134231</v>
      </c>
      <c r="I425">
        <f t="shared" si="33"/>
        <v>30.627597880084068</v>
      </c>
      <c r="J425">
        <f t="shared" si="34"/>
        <v>1.9569870346458629</v>
      </c>
      <c r="K425">
        <f t="shared" si="35"/>
        <v>2.6729048840934411</v>
      </c>
      <c r="L425" s="33">
        <f t="shared" si="36"/>
        <v>73.164501372957602</v>
      </c>
    </row>
    <row r="426" spans="3:12" x14ac:dyDescent="0.3">
      <c r="C426">
        <v>80.263455603999319</v>
      </c>
      <c r="D426">
        <v>70.5275717285258</v>
      </c>
      <c r="E426">
        <v>91.600719770067371</v>
      </c>
      <c r="F426">
        <v>131.96636392502114</v>
      </c>
      <c r="H426" s="33">
        <f t="shared" si="32"/>
        <v>5.2691120799863711</v>
      </c>
      <c r="I426">
        <f t="shared" si="33"/>
        <v>10.551434570515994</v>
      </c>
      <c r="J426">
        <f t="shared" si="34"/>
        <v>32.014395401347429</v>
      </c>
      <c r="K426">
        <f t="shared" si="35"/>
        <v>39.327278500422835</v>
      </c>
      <c r="L426" s="33">
        <f t="shared" si="36"/>
        <v>87.162220552272629</v>
      </c>
    </row>
    <row r="427" spans="3:12" x14ac:dyDescent="0.3">
      <c r="C427">
        <v>78.854548266535858</v>
      </c>
      <c r="D427">
        <v>70.237799895330681</v>
      </c>
      <c r="E427">
        <v>92.053329808404669</v>
      </c>
      <c r="F427">
        <v>129.45485001262568</v>
      </c>
      <c r="H427" s="33">
        <f t="shared" si="32"/>
        <v>2.2909034669282846</v>
      </c>
      <c r="I427">
        <f t="shared" si="33"/>
        <v>4.7559979066136293</v>
      </c>
      <c r="J427">
        <f t="shared" si="34"/>
        <v>41.066596168093383</v>
      </c>
      <c r="K427">
        <f t="shared" si="35"/>
        <v>1.0902999747486319</v>
      </c>
      <c r="L427" s="33">
        <f t="shared" si="36"/>
        <v>49.203797516383929</v>
      </c>
    </row>
    <row r="428" spans="3:12" x14ac:dyDescent="0.3">
      <c r="C428">
        <v>80.369502686226042</v>
      </c>
      <c r="D428">
        <v>69.234207734843949</v>
      </c>
      <c r="E428">
        <v>90.080679001257522</v>
      </c>
      <c r="F428">
        <v>129.69624468576512</v>
      </c>
      <c r="H428" s="33">
        <f t="shared" si="32"/>
        <v>7.3900537245208398</v>
      </c>
      <c r="I428">
        <f t="shared" si="33"/>
        <v>1.5315845303121023</v>
      </c>
      <c r="J428">
        <f t="shared" si="34"/>
        <v>1.6135800251504406</v>
      </c>
      <c r="K428">
        <f t="shared" si="35"/>
        <v>0.60751062846975401</v>
      </c>
      <c r="L428" s="33">
        <f t="shared" si="36"/>
        <v>11.142728908453137</v>
      </c>
    </row>
    <row r="429" spans="3:12" x14ac:dyDescent="0.3">
      <c r="C429">
        <v>79.461228981090244</v>
      </c>
      <c r="D429">
        <v>69.576033360426663</v>
      </c>
      <c r="E429">
        <v>88.110151864239015</v>
      </c>
      <c r="F429">
        <v>130.33920059649972</v>
      </c>
      <c r="H429" s="33">
        <f t="shared" si="32"/>
        <v>1.0775420378195122</v>
      </c>
      <c r="I429">
        <f t="shared" si="33"/>
        <v>0.84793327914667316</v>
      </c>
      <c r="J429">
        <f t="shared" si="34"/>
        <v>3.7796962715219706</v>
      </c>
      <c r="K429">
        <f t="shared" si="35"/>
        <v>6.784011929994449</v>
      </c>
      <c r="L429" s="33">
        <f t="shared" si="36"/>
        <v>12.489183518482605</v>
      </c>
    </row>
    <row r="430" spans="3:12" x14ac:dyDescent="0.3">
      <c r="C430">
        <v>81.042085386870895</v>
      </c>
      <c r="D430">
        <v>70.670245299261296</v>
      </c>
      <c r="E430">
        <v>89.188585206866264</v>
      </c>
      <c r="F430">
        <v>131.4119541447144</v>
      </c>
      <c r="H430" s="33">
        <f t="shared" si="32"/>
        <v>20.841707737417892</v>
      </c>
      <c r="I430">
        <f t="shared" si="33"/>
        <v>13.404905985225923</v>
      </c>
      <c r="J430">
        <f t="shared" si="34"/>
        <v>1.6228295862674713</v>
      </c>
      <c r="K430">
        <f t="shared" si="35"/>
        <v>28.239082894288003</v>
      </c>
      <c r="L430" s="33">
        <f t="shared" si="36"/>
        <v>64.10852620319929</v>
      </c>
    </row>
    <row r="431" spans="3:12" x14ac:dyDescent="0.3">
      <c r="C431">
        <v>80.778882167651318</v>
      </c>
      <c r="D431">
        <v>70.009830500857788</v>
      </c>
      <c r="E431">
        <v>90.710340373188956</v>
      </c>
      <c r="F431">
        <v>130.38214693631744</v>
      </c>
      <c r="H431" s="33">
        <f t="shared" si="32"/>
        <v>15.57764335302636</v>
      </c>
      <c r="I431">
        <f t="shared" si="33"/>
        <v>0.19661001715576276</v>
      </c>
      <c r="J431">
        <f t="shared" si="34"/>
        <v>14.206807463779114</v>
      </c>
      <c r="K431">
        <f t="shared" si="35"/>
        <v>7.6429387263488024</v>
      </c>
      <c r="L431" s="33">
        <f t="shared" si="36"/>
        <v>37.62399956031004</v>
      </c>
    </row>
    <row r="432" spans="3:12" x14ac:dyDescent="0.3">
      <c r="C432">
        <v>79.509871031477815</v>
      </c>
      <c r="D432">
        <v>72.162505552405491</v>
      </c>
      <c r="E432">
        <v>88.015337041579187</v>
      </c>
      <c r="F432">
        <v>127.65412212582305</v>
      </c>
      <c r="H432" s="33">
        <f t="shared" si="32"/>
        <v>0.98025793704437092</v>
      </c>
      <c r="I432">
        <f t="shared" si="33"/>
        <v>43.250111048109829</v>
      </c>
      <c r="J432">
        <f t="shared" si="34"/>
        <v>3.9693259168416262</v>
      </c>
      <c r="K432">
        <f t="shared" si="35"/>
        <v>4.6917557483538985</v>
      </c>
      <c r="L432" s="33">
        <f t="shared" si="36"/>
        <v>52.891450650349725</v>
      </c>
    </row>
    <row r="433" spans="3:12" x14ac:dyDescent="0.3">
      <c r="C433">
        <v>81.247467480425257</v>
      </c>
      <c r="D433">
        <v>70.301832869809004</v>
      </c>
      <c r="E433">
        <v>89.753534893898177</v>
      </c>
      <c r="F433">
        <v>130.9530072020425</v>
      </c>
      <c r="H433" s="33">
        <f t="shared" si="32"/>
        <v>24.949349608505145</v>
      </c>
      <c r="I433">
        <f t="shared" si="33"/>
        <v>6.0366573961800896</v>
      </c>
      <c r="J433">
        <f t="shared" si="34"/>
        <v>0.49293021220364608</v>
      </c>
      <c r="K433">
        <f t="shared" si="35"/>
        <v>19.060144040849991</v>
      </c>
      <c r="L433" s="33">
        <f t="shared" si="36"/>
        <v>50.539081257738871</v>
      </c>
    </row>
    <row r="434" spans="3:12" x14ac:dyDescent="0.3">
      <c r="C434">
        <v>80.575853391637793</v>
      </c>
      <c r="D434">
        <v>68.253661033231765</v>
      </c>
      <c r="E434">
        <v>89.962774381856434</v>
      </c>
      <c r="F434">
        <v>130.14682882465422</v>
      </c>
      <c r="H434" s="33">
        <f t="shared" si="32"/>
        <v>11.517067832755856</v>
      </c>
      <c r="I434">
        <f t="shared" si="33"/>
        <v>3.4926779335364699</v>
      </c>
      <c r="J434">
        <f t="shared" si="34"/>
        <v>7.4451236287131906E-2</v>
      </c>
      <c r="K434">
        <f t="shared" si="35"/>
        <v>2.9365764930844307</v>
      </c>
      <c r="L434" s="33">
        <f t="shared" si="36"/>
        <v>18.020773495663889</v>
      </c>
    </row>
    <row r="435" spans="3:12" x14ac:dyDescent="0.3">
      <c r="C435">
        <v>80.779608626544359</v>
      </c>
      <c r="D435">
        <v>70.379020548280096</v>
      </c>
      <c r="E435">
        <v>91.432563294656575</v>
      </c>
      <c r="F435">
        <v>130.29655211619684</v>
      </c>
      <c r="H435" s="33">
        <f t="shared" si="32"/>
        <v>15.592172530887183</v>
      </c>
      <c r="I435">
        <f t="shared" si="33"/>
        <v>7.5804109656019136</v>
      </c>
      <c r="J435">
        <f t="shared" si="34"/>
        <v>28.651265893131495</v>
      </c>
      <c r="K435">
        <f t="shared" si="35"/>
        <v>5.9310423239367083</v>
      </c>
      <c r="L435" s="33">
        <f t="shared" si="36"/>
        <v>57.754891713557299</v>
      </c>
    </row>
    <row r="436" spans="3:12" x14ac:dyDescent="0.3">
      <c r="C436">
        <v>80.674945113132708</v>
      </c>
      <c r="D436">
        <v>69.077979282446904</v>
      </c>
      <c r="E436">
        <v>87.771064954577014</v>
      </c>
      <c r="F436">
        <v>130.74907802627422</v>
      </c>
      <c r="H436" s="33">
        <f t="shared" si="32"/>
        <v>13.498902262654155</v>
      </c>
      <c r="I436">
        <f t="shared" si="33"/>
        <v>1.8440414351061918</v>
      </c>
      <c r="J436">
        <f t="shared" si="34"/>
        <v>4.4578700908459723</v>
      </c>
      <c r="K436">
        <f t="shared" si="35"/>
        <v>14.981560525484383</v>
      </c>
      <c r="L436" s="33">
        <f t="shared" si="36"/>
        <v>34.782374314090703</v>
      </c>
    </row>
    <row r="437" spans="3:12" x14ac:dyDescent="0.3">
      <c r="C437">
        <v>80.136706148623489</v>
      </c>
      <c r="D437">
        <v>68.817497726122383</v>
      </c>
      <c r="E437">
        <v>90.349347146766377</v>
      </c>
      <c r="F437">
        <v>130.30087221603026</v>
      </c>
      <c r="H437" s="33">
        <f t="shared" si="32"/>
        <v>2.7341229724697769</v>
      </c>
      <c r="I437">
        <f t="shared" si="33"/>
        <v>2.3650045477552339</v>
      </c>
      <c r="J437">
        <f t="shared" si="34"/>
        <v>6.9869429353275336</v>
      </c>
      <c r="K437">
        <f t="shared" si="35"/>
        <v>6.0174443206051365</v>
      </c>
      <c r="L437" s="33">
        <f t="shared" si="36"/>
        <v>18.103514776157681</v>
      </c>
    </row>
    <row r="438" spans="3:12" x14ac:dyDescent="0.3">
      <c r="C438">
        <v>81.543353391753044</v>
      </c>
      <c r="D438">
        <v>69.832258481546887</v>
      </c>
      <c r="E438">
        <v>89.398035015474306</v>
      </c>
      <c r="F438">
        <v>130.56657654567971</v>
      </c>
      <c r="H438" s="33">
        <f t="shared" si="32"/>
        <v>30.86706783506088</v>
      </c>
      <c r="I438">
        <f t="shared" si="33"/>
        <v>0.33548303690622561</v>
      </c>
      <c r="J438">
        <f t="shared" si="34"/>
        <v>1.2039299690513872</v>
      </c>
      <c r="K438">
        <f t="shared" si="35"/>
        <v>11.331530913594179</v>
      </c>
      <c r="L438" s="33">
        <f t="shared" si="36"/>
        <v>43.738011754612671</v>
      </c>
    </row>
    <row r="439" spans="3:12" x14ac:dyDescent="0.3">
      <c r="C439">
        <v>78.87811100052204</v>
      </c>
      <c r="D439">
        <v>69.71031456880155</v>
      </c>
      <c r="E439">
        <v>90.845268459670478</v>
      </c>
      <c r="F439">
        <v>129.48591948850662</v>
      </c>
      <c r="H439" s="33">
        <f t="shared" si="32"/>
        <v>2.2437779989559203</v>
      </c>
      <c r="I439">
        <f t="shared" si="33"/>
        <v>0.57937086239689961</v>
      </c>
      <c r="J439">
        <f t="shared" si="34"/>
        <v>16.90536919340957</v>
      </c>
      <c r="K439">
        <f t="shared" si="35"/>
        <v>1.028161022986751</v>
      </c>
      <c r="L439" s="33">
        <f t="shared" si="36"/>
        <v>20.756679077749141</v>
      </c>
    </row>
    <row r="440" spans="3:12" x14ac:dyDescent="0.3">
      <c r="C440">
        <v>80.88237356976606</v>
      </c>
      <c r="D440">
        <v>69.807923813932575</v>
      </c>
      <c r="E440">
        <v>90.040440681914333</v>
      </c>
      <c r="F440">
        <v>128.62125605432084</v>
      </c>
      <c r="H440" s="33">
        <f t="shared" si="32"/>
        <v>17.64747139532119</v>
      </c>
      <c r="I440">
        <f t="shared" si="33"/>
        <v>0.38415237213484943</v>
      </c>
      <c r="J440">
        <f t="shared" si="34"/>
        <v>0.80881363828666508</v>
      </c>
      <c r="K440">
        <f t="shared" si="35"/>
        <v>2.7574878913583234</v>
      </c>
      <c r="L440" s="33">
        <f t="shared" si="36"/>
        <v>21.597925297101028</v>
      </c>
    </row>
    <row r="441" spans="3:12" x14ac:dyDescent="0.3">
      <c r="C441">
        <v>80.308243670588126</v>
      </c>
      <c r="D441">
        <v>69.644792296749074</v>
      </c>
      <c r="E441">
        <v>88.921957740094513</v>
      </c>
      <c r="F441">
        <v>128.41182670934359</v>
      </c>
      <c r="H441" s="33">
        <f t="shared" si="32"/>
        <v>6.1648734117625281</v>
      </c>
      <c r="I441">
        <f t="shared" si="33"/>
        <v>0.71041540650185198</v>
      </c>
      <c r="J441">
        <f t="shared" si="34"/>
        <v>2.1560845198109746</v>
      </c>
      <c r="K441">
        <f t="shared" si="35"/>
        <v>3.1763465813128278</v>
      </c>
      <c r="L441" s="33">
        <f t="shared" si="36"/>
        <v>12.207719919388182</v>
      </c>
    </row>
    <row r="442" spans="3:12" x14ac:dyDescent="0.3">
      <c r="C442">
        <v>79.393719463114394</v>
      </c>
      <c r="D442">
        <v>70.476629793411121</v>
      </c>
      <c r="E442">
        <v>89.932668970359373</v>
      </c>
      <c r="F442">
        <v>130.95433279057033</v>
      </c>
      <c r="H442" s="33">
        <f t="shared" si="32"/>
        <v>1.2125610737712122</v>
      </c>
      <c r="I442">
        <f t="shared" si="33"/>
        <v>9.5325958682224154</v>
      </c>
      <c r="J442">
        <f t="shared" si="34"/>
        <v>0.13466205928125419</v>
      </c>
      <c r="K442">
        <f t="shared" si="35"/>
        <v>19.086655811406672</v>
      </c>
      <c r="L442" s="33">
        <f t="shared" si="36"/>
        <v>29.966474812681554</v>
      </c>
    </row>
    <row r="443" spans="3:12" x14ac:dyDescent="0.3">
      <c r="C443">
        <v>80.467650806967868</v>
      </c>
      <c r="D443">
        <v>71.695243554422632</v>
      </c>
      <c r="E443">
        <v>90.886558382262592</v>
      </c>
      <c r="F443">
        <v>128.31907189218327</v>
      </c>
      <c r="H443" s="33">
        <f t="shared" si="32"/>
        <v>9.3530161393573508</v>
      </c>
      <c r="I443">
        <f t="shared" si="33"/>
        <v>33.904871088452637</v>
      </c>
      <c r="J443">
        <f t="shared" si="34"/>
        <v>17.731167645251844</v>
      </c>
      <c r="K443">
        <f t="shared" si="35"/>
        <v>3.3618562156334519</v>
      </c>
      <c r="L443" s="33">
        <f t="shared" si="36"/>
        <v>64.350911088695284</v>
      </c>
    </row>
    <row r="444" spans="3:12" x14ac:dyDescent="0.3">
      <c r="C444">
        <v>78.477455847023521</v>
      </c>
      <c r="D444">
        <v>67.493905539158732</v>
      </c>
      <c r="E444">
        <v>89.797627197040129</v>
      </c>
      <c r="F444">
        <v>129.89042635206715</v>
      </c>
      <c r="H444" s="33">
        <f t="shared" si="32"/>
        <v>3.0450883059529588</v>
      </c>
      <c r="I444">
        <f t="shared" si="33"/>
        <v>5.0121889216825366</v>
      </c>
      <c r="J444">
        <f t="shared" si="34"/>
        <v>0.40474560591974296</v>
      </c>
      <c r="K444">
        <f t="shared" si="35"/>
        <v>0.21914729586569592</v>
      </c>
      <c r="L444" s="33">
        <f t="shared" si="36"/>
        <v>8.6811701294209342</v>
      </c>
    </row>
    <row r="445" spans="3:12" x14ac:dyDescent="0.3">
      <c r="C445">
        <v>80.043120280679432</v>
      </c>
      <c r="D445">
        <v>67.814757080050185</v>
      </c>
      <c r="E445">
        <v>89.51469590087072</v>
      </c>
      <c r="F445">
        <v>130.07300627657969</v>
      </c>
      <c r="H445" s="33">
        <f t="shared" si="32"/>
        <v>0.86240561358863488</v>
      </c>
      <c r="I445">
        <f t="shared" si="33"/>
        <v>4.3704858398996294</v>
      </c>
      <c r="J445">
        <f t="shared" si="34"/>
        <v>0.97060819825856015</v>
      </c>
      <c r="K445">
        <f t="shared" si="35"/>
        <v>1.4601255315938033</v>
      </c>
      <c r="L445" s="33">
        <f t="shared" si="36"/>
        <v>7.6636251833406277</v>
      </c>
    </row>
    <row r="446" spans="3:12" x14ac:dyDescent="0.3">
      <c r="C446">
        <v>80.151470658238395</v>
      </c>
      <c r="D446">
        <v>70.58463456298341</v>
      </c>
      <c r="E446">
        <v>89.189540176303126</v>
      </c>
      <c r="F446">
        <v>129.90703599905828</v>
      </c>
      <c r="H446" s="33">
        <f t="shared" si="32"/>
        <v>3.0294131647679023</v>
      </c>
      <c r="I446">
        <f t="shared" si="33"/>
        <v>11.692691259668209</v>
      </c>
      <c r="J446">
        <f t="shared" si="34"/>
        <v>1.6209196473937482</v>
      </c>
      <c r="K446">
        <f t="shared" si="35"/>
        <v>0.18592800188343972</v>
      </c>
      <c r="L446" s="33">
        <f t="shared" si="36"/>
        <v>16.528952073713299</v>
      </c>
    </row>
    <row r="447" spans="3:12" x14ac:dyDescent="0.3">
      <c r="C447">
        <v>78.510038494714536</v>
      </c>
      <c r="D447">
        <v>69.355861746153096</v>
      </c>
      <c r="E447">
        <v>88.797404714423465</v>
      </c>
      <c r="F447">
        <v>130.06311438482953</v>
      </c>
      <c r="H447" s="33">
        <f t="shared" si="32"/>
        <v>2.9799230105709285</v>
      </c>
      <c r="I447">
        <f t="shared" si="33"/>
        <v>1.2882765076938085</v>
      </c>
      <c r="J447">
        <f t="shared" si="34"/>
        <v>2.4051905711530708</v>
      </c>
      <c r="K447">
        <f t="shared" si="35"/>
        <v>1.2622876965906471</v>
      </c>
      <c r="L447" s="33">
        <f t="shared" si="36"/>
        <v>7.9356777860084549</v>
      </c>
    </row>
    <row r="448" spans="3:12" x14ac:dyDescent="0.3">
      <c r="C448">
        <v>80.247490561378072</v>
      </c>
      <c r="D448">
        <v>70.295593736154842</v>
      </c>
      <c r="E448">
        <v>89.001556716393679</v>
      </c>
      <c r="F448">
        <v>129.44014689390315</v>
      </c>
      <c r="H448" s="33">
        <f t="shared" si="32"/>
        <v>4.9498112275614403</v>
      </c>
      <c r="I448">
        <f t="shared" si="33"/>
        <v>5.9118747230968438</v>
      </c>
      <c r="J448">
        <f t="shared" si="34"/>
        <v>1.9968865672126412</v>
      </c>
      <c r="K448">
        <f t="shared" si="35"/>
        <v>1.1197062121937051</v>
      </c>
      <c r="L448" s="33">
        <f t="shared" si="36"/>
        <v>13.978278730064631</v>
      </c>
    </row>
    <row r="449" spans="3:12" x14ac:dyDescent="0.3">
      <c r="C449">
        <v>79.88827084962395</v>
      </c>
      <c r="D449">
        <v>69.430815478262957</v>
      </c>
      <c r="E449">
        <v>90.349753008777043</v>
      </c>
      <c r="F449">
        <v>128.12633177498356</v>
      </c>
      <c r="H449" s="33">
        <f t="shared" si="32"/>
        <v>0.2234583007520996</v>
      </c>
      <c r="I449">
        <f t="shared" si="33"/>
        <v>1.1383690434740856</v>
      </c>
      <c r="J449">
        <f t="shared" si="34"/>
        <v>6.995060175540857</v>
      </c>
      <c r="K449">
        <f t="shared" si="35"/>
        <v>3.7473364500328898</v>
      </c>
      <c r="L449" s="33">
        <f t="shared" si="36"/>
        <v>12.104223969799932</v>
      </c>
    </row>
    <row r="450" spans="3:12" x14ac:dyDescent="0.3">
      <c r="C450">
        <v>79.233593825920252</v>
      </c>
      <c r="D450">
        <v>70.219895355257904</v>
      </c>
      <c r="E450">
        <v>89.09331563685555</v>
      </c>
      <c r="F450">
        <v>130.18973992155225</v>
      </c>
      <c r="H450" s="33">
        <f t="shared" si="32"/>
        <v>1.5328123481594957</v>
      </c>
      <c r="I450">
        <f t="shared" si="33"/>
        <v>4.3979071051580831</v>
      </c>
      <c r="J450">
        <f t="shared" si="34"/>
        <v>1.8133687262888998</v>
      </c>
      <c r="K450">
        <f t="shared" si="35"/>
        <v>3.7947984310449101</v>
      </c>
      <c r="L450" s="33">
        <f t="shared" si="36"/>
        <v>11.538886610651389</v>
      </c>
    </row>
    <row r="451" spans="3:12" x14ac:dyDescent="0.3">
      <c r="C451">
        <v>79.660151388525264</v>
      </c>
      <c r="D451">
        <v>70.507891400047811</v>
      </c>
      <c r="E451">
        <v>90.449972503702156</v>
      </c>
      <c r="F451">
        <v>130.07108837962733</v>
      </c>
      <c r="H451" s="33">
        <f t="shared" si="32"/>
        <v>0.67969722294947132</v>
      </c>
      <c r="I451">
        <f t="shared" si="33"/>
        <v>10.157828000956215</v>
      </c>
      <c r="J451">
        <f t="shared" si="34"/>
        <v>8.9994500740431249</v>
      </c>
      <c r="K451">
        <f t="shared" si="35"/>
        <v>1.4217675925465301</v>
      </c>
      <c r="L451" s="33">
        <f t="shared" si="36"/>
        <v>21.258742890495341</v>
      </c>
    </row>
    <row r="452" spans="3:12" x14ac:dyDescent="0.3">
      <c r="C452">
        <v>80.560301032237476</v>
      </c>
      <c r="D452">
        <v>67.910053934901953</v>
      </c>
      <c r="E452">
        <v>88.843120465608081</v>
      </c>
      <c r="F452">
        <v>130.49574396143726</v>
      </c>
      <c r="H452" s="33">
        <f t="shared" si="32"/>
        <v>11.206020644749515</v>
      </c>
      <c r="I452">
        <f t="shared" si="33"/>
        <v>4.1798921301960945</v>
      </c>
      <c r="J452">
        <f t="shared" si="34"/>
        <v>2.3137590687838383</v>
      </c>
      <c r="K452">
        <f t="shared" si="35"/>
        <v>9.9148792287451215</v>
      </c>
      <c r="L452" s="33">
        <f t="shared" si="36"/>
        <v>27.614551072474569</v>
      </c>
    </row>
    <row r="453" spans="3:12" x14ac:dyDescent="0.3">
      <c r="C453">
        <v>79.985885779096861</v>
      </c>
      <c r="D453">
        <v>70.105342223832849</v>
      </c>
      <c r="E453">
        <v>90.194414724319358</v>
      </c>
      <c r="F453">
        <v>129.45857325656107</v>
      </c>
      <c r="H453" s="33">
        <f t="shared" si="32"/>
        <v>2.822844180627726E-2</v>
      </c>
      <c r="I453">
        <f t="shared" si="33"/>
        <v>2.1068444766569883</v>
      </c>
      <c r="J453">
        <f t="shared" si="34"/>
        <v>3.8882944863871671</v>
      </c>
      <c r="K453">
        <f t="shared" si="35"/>
        <v>1.0828534868778661</v>
      </c>
      <c r="L453" s="33">
        <f t="shared" si="36"/>
        <v>7.1062208917282987</v>
      </c>
    </row>
    <row r="454" spans="3:12" x14ac:dyDescent="0.3">
      <c r="C454">
        <v>80.550928689335706</v>
      </c>
      <c r="D454">
        <v>70.47894559429551</v>
      </c>
      <c r="E454">
        <v>90.199562464331393</v>
      </c>
      <c r="F454">
        <v>129.35350729174388</v>
      </c>
      <c r="H454" s="33">
        <f t="shared" si="32"/>
        <v>11.018573786714114</v>
      </c>
      <c r="I454">
        <f t="shared" si="33"/>
        <v>9.5789118859102018</v>
      </c>
      <c r="J454">
        <f t="shared" si="34"/>
        <v>3.9912492866278626</v>
      </c>
      <c r="K454">
        <f t="shared" si="35"/>
        <v>1.2929854165122379</v>
      </c>
      <c r="L454" s="33">
        <f t="shared" si="36"/>
        <v>25.881720375764417</v>
      </c>
    </row>
    <row r="455" spans="3:12" x14ac:dyDescent="0.3">
      <c r="C455">
        <v>80.981958692136686</v>
      </c>
      <c r="D455">
        <v>67.880622686352581</v>
      </c>
      <c r="E455">
        <v>90.433610694017261</v>
      </c>
      <c r="F455">
        <v>129.7442978383333</v>
      </c>
      <c r="H455" s="33">
        <f t="shared" si="32"/>
        <v>19.639173842733726</v>
      </c>
      <c r="I455">
        <f t="shared" si="33"/>
        <v>4.2387546272948384</v>
      </c>
      <c r="J455">
        <f t="shared" si="34"/>
        <v>8.6722138803452253</v>
      </c>
      <c r="K455">
        <f t="shared" si="35"/>
        <v>0.51140432333340868</v>
      </c>
      <c r="L455" s="33">
        <f t="shared" si="36"/>
        <v>33.061546673707198</v>
      </c>
    </row>
    <row r="456" spans="3:12" x14ac:dyDescent="0.3">
      <c r="C456">
        <v>79.397300598502625</v>
      </c>
      <c r="D456">
        <v>70.116117462312104</v>
      </c>
      <c r="E456">
        <v>88.557327671733219</v>
      </c>
      <c r="F456">
        <v>129.40050884106313</v>
      </c>
      <c r="H456" s="33">
        <f t="shared" si="32"/>
        <v>1.2053988029947504</v>
      </c>
      <c r="I456">
        <f t="shared" si="33"/>
        <v>2.3223492462420836</v>
      </c>
      <c r="J456">
        <f t="shared" si="34"/>
        <v>2.8853446565335616</v>
      </c>
      <c r="K456">
        <f t="shared" si="35"/>
        <v>1.1989823178737424</v>
      </c>
      <c r="L456" s="33">
        <f t="shared" si="36"/>
        <v>7.6120750236441381</v>
      </c>
    </row>
    <row r="457" spans="3:12" x14ac:dyDescent="0.3">
      <c r="C457">
        <v>80.242839632846881</v>
      </c>
      <c r="D457">
        <v>69.88773197401315</v>
      </c>
      <c r="E457">
        <v>89.915022499408224</v>
      </c>
      <c r="F457">
        <v>128.46016180526931</v>
      </c>
      <c r="H457" s="33">
        <f t="shared" si="32"/>
        <v>4.8567926569376141</v>
      </c>
      <c r="I457">
        <f t="shared" si="33"/>
        <v>0.22453605197370052</v>
      </c>
      <c r="J457">
        <f t="shared" si="34"/>
        <v>0.16995500118355267</v>
      </c>
      <c r="K457">
        <f t="shared" si="35"/>
        <v>3.0796763894613832</v>
      </c>
      <c r="L457" s="33">
        <f t="shared" si="36"/>
        <v>8.3309600995562505</v>
      </c>
    </row>
    <row r="458" spans="3:12" x14ac:dyDescent="0.3">
      <c r="C458">
        <v>81.734510988171678</v>
      </c>
      <c r="D458">
        <v>69.984125906848931</v>
      </c>
      <c r="E458">
        <v>88.476969267358072</v>
      </c>
      <c r="F458">
        <v>128.43254499864997</v>
      </c>
      <c r="H458" s="33">
        <f t="shared" si="32"/>
        <v>34.690219763433561</v>
      </c>
      <c r="I458">
        <f t="shared" si="33"/>
        <v>3.1748186302138492E-2</v>
      </c>
      <c r="J458">
        <f t="shared" si="34"/>
        <v>3.0460614652838558</v>
      </c>
      <c r="K458">
        <f t="shared" si="35"/>
        <v>3.1349100027000532</v>
      </c>
      <c r="L458" s="33">
        <f t="shared" si="36"/>
        <v>40.902939417719608</v>
      </c>
    </row>
    <row r="459" spans="3:12" x14ac:dyDescent="0.3">
      <c r="C459">
        <v>80.528627879248234</v>
      </c>
      <c r="D459">
        <v>70.899208316695876</v>
      </c>
      <c r="E459">
        <v>90.322797859553248</v>
      </c>
      <c r="F459">
        <v>130.50902258408314</v>
      </c>
      <c r="H459" s="33">
        <f t="shared" si="32"/>
        <v>10.57255758496467</v>
      </c>
      <c r="I459">
        <f t="shared" si="33"/>
        <v>17.984166333917528</v>
      </c>
      <c r="J459">
        <f t="shared" si="34"/>
        <v>6.4559571910649538</v>
      </c>
      <c r="K459">
        <f t="shared" si="35"/>
        <v>10.180451681662817</v>
      </c>
      <c r="L459" s="33">
        <f t="shared" si="36"/>
        <v>45.193132791609969</v>
      </c>
    </row>
    <row r="460" spans="3:12" x14ac:dyDescent="0.3">
      <c r="C460">
        <v>77.834311216138303</v>
      </c>
      <c r="D460">
        <v>70.980348886514548</v>
      </c>
      <c r="E460">
        <v>89.616289869663888</v>
      </c>
      <c r="F460">
        <v>129.47497599350754</v>
      </c>
      <c r="H460" s="33">
        <f t="shared" si="32"/>
        <v>4.3313775677233934</v>
      </c>
      <c r="I460">
        <f t="shared" si="33"/>
        <v>19.606977730290964</v>
      </c>
      <c r="J460">
        <f t="shared" si="34"/>
        <v>0.76742026067222469</v>
      </c>
      <c r="K460">
        <f t="shared" si="35"/>
        <v>1.0500480129849166</v>
      </c>
      <c r="L460" s="33">
        <f t="shared" si="36"/>
        <v>25.755823571671499</v>
      </c>
    </row>
    <row r="461" spans="3:12" x14ac:dyDescent="0.3">
      <c r="C461">
        <v>81.006155798677355</v>
      </c>
      <c r="D461">
        <v>69.793565166328335</v>
      </c>
      <c r="E461">
        <v>87.181294020265341</v>
      </c>
      <c r="F461">
        <v>129.37940629024524</v>
      </c>
      <c r="H461" s="33">
        <f t="shared" si="32"/>
        <v>20.123115973547101</v>
      </c>
      <c r="I461">
        <f t="shared" si="33"/>
        <v>0.41286966734332964</v>
      </c>
      <c r="J461">
        <f t="shared" si="34"/>
        <v>5.6374119594693184</v>
      </c>
      <c r="K461">
        <f t="shared" si="35"/>
        <v>1.2411874195095152</v>
      </c>
      <c r="L461" s="33">
        <f t="shared" si="36"/>
        <v>27.414585019869264</v>
      </c>
    </row>
    <row r="462" spans="3:12" x14ac:dyDescent="0.3">
      <c r="C462">
        <v>79.656095042155357</v>
      </c>
      <c r="D462">
        <v>69.81306359586597</v>
      </c>
      <c r="E462">
        <v>91.253656591870822</v>
      </c>
      <c r="F462">
        <v>130.11034330782422</v>
      </c>
      <c r="H462" s="33">
        <f t="shared" si="32"/>
        <v>0.68780991568928584</v>
      </c>
      <c r="I462">
        <f t="shared" si="33"/>
        <v>0.37387280826806091</v>
      </c>
      <c r="J462">
        <f t="shared" si="34"/>
        <v>25.07313183741644</v>
      </c>
      <c r="K462">
        <f t="shared" si="35"/>
        <v>2.206866156484466</v>
      </c>
      <c r="L462" s="33">
        <f t="shared" si="36"/>
        <v>28.341680717858253</v>
      </c>
    </row>
    <row r="463" spans="3:12" x14ac:dyDescent="0.3">
      <c r="C463">
        <v>79.600928504150943</v>
      </c>
      <c r="D463">
        <v>70.226405063585844</v>
      </c>
      <c r="E463">
        <v>89.20537561592937</v>
      </c>
      <c r="F463">
        <v>128.65698100620648</v>
      </c>
      <c r="H463" s="33">
        <f t="shared" si="32"/>
        <v>0.7981429916981142</v>
      </c>
      <c r="I463">
        <f t="shared" si="33"/>
        <v>4.5281012717168778</v>
      </c>
      <c r="J463">
        <f t="shared" si="34"/>
        <v>1.5892487681412604</v>
      </c>
      <c r="K463">
        <f t="shared" si="35"/>
        <v>2.6860379875870422</v>
      </c>
      <c r="L463" s="33">
        <f t="shared" si="36"/>
        <v>9.6015310191432945</v>
      </c>
    </row>
    <row r="464" spans="3:12" x14ac:dyDescent="0.3">
      <c r="C464">
        <v>80.182267285708804</v>
      </c>
      <c r="D464">
        <v>70.536383595317602</v>
      </c>
      <c r="E464">
        <v>88.955806859157747</v>
      </c>
      <c r="F464">
        <v>128.63556240597973</v>
      </c>
      <c r="H464" s="33">
        <f t="shared" si="32"/>
        <v>3.6453457141760737</v>
      </c>
      <c r="I464">
        <f t="shared" si="33"/>
        <v>10.727671906352043</v>
      </c>
      <c r="J464">
        <f t="shared" si="34"/>
        <v>2.0883862816845067</v>
      </c>
      <c r="K464">
        <f t="shared" si="35"/>
        <v>2.7288751880405471</v>
      </c>
      <c r="L464" s="33">
        <f t="shared" si="36"/>
        <v>19.190279090253171</v>
      </c>
    </row>
    <row r="465" spans="3:12" x14ac:dyDescent="0.3">
      <c r="C465">
        <v>79.921393509794143</v>
      </c>
      <c r="D465">
        <v>70.117811396194156</v>
      </c>
      <c r="E465">
        <v>90.096883923106361</v>
      </c>
      <c r="F465">
        <v>129.79200197230966</v>
      </c>
      <c r="H465" s="33">
        <f t="shared" si="32"/>
        <v>0.15721298041171394</v>
      </c>
      <c r="I465">
        <f t="shared" si="33"/>
        <v>2.3562279238831252</v>
      </c>
      <c r="J465">
        <f t="shared" si="34"/>
        <v>1.9376784621272236</v>
      </c>
      <c r="K465">
        <f t="shared" si="35"/>
        <v>0.41599605538067408</v>
      </c>
      <c r="L465" s="33">
        <f t="shared" si="36"/>
        <v>4.8671154218027368</v>
      </c>
    </row>
    <row r="466" spans="3:12" x14ac:dyDescent="0.3">
      <c r="C466">
        <v>79.524054601351963</v>
      </c>
      <c r="D466">
        <v>71.633234205655754</v>
      </c>
      <c r="E466">
        <v>90.493064362672158</v>
      </c>
      <c r="F466">
        <v>129.45680201562936</v>
      </c>
      <c r="H466" s="33">
        <f t="shared" si="32"/>
        <v>0.95189079729607329</v>
      </c>
      <c r="I466">
        <f t="shared" si="33"/>
        <v>32.664684113115072</v>
      </c>
      <c r="J466">
        <f t="shared" si="34"/>
        <v>9.8612872534431517</v>
      </c>
      <c r="K466">
        <f t="shared" si="35"/>
        <v>1.0863959687412716</v>
      </c>
      <c r="L466" s="33">
        <f t="shared" si="36"/>
        <v>44.564258132595569</v>
      </c>
    </row>
    <row r="467" spans="3:12" x14ac:dyDescent="0.3">
      <c r="C467">
        <v>80.996808466879884</v>
      </c>
      <c r="D467">
        <v>72.128126652678475</v>
      </c>
      <c r="E467">
        <v>88.406947270268574</v>
      </c>
      <c r="F467">
        <v>128.40257714822656</v>
      </c>
      <c r="H467" s="33">
        <f t="shared" si="32"/>
        <v>19.936169337597676</v>
      </c>
      <c r="I467">
        <f t="shared" si="33"/>
        <v>42.562533053569496</v>
      </c>
      <c r="J467">
        <f t="shared" si="34"/>
        <v>3.1861054594628513</v>
      </c>
      <c r="K467">
        <f t="shared" si="35"/>
        <v>3.1948457035468891</v>
      </c>
      <c r="L467" s="33">
        <f t="shared" si="36"/>
        <v>68.879653554176912</v>
      </c>
    </row>
    <row r="468" spans="3:12" x14ac:dyDescent="0.3">
      <c r="C468">
        <v>80.051314827942406</v>
      </c>
      <c r="D468">
        <v>70.168206497619394</v>
      </c>
      <c r="E468">
        <v>90.396919404010987</v>
      </c>
      <c r="F468">
        <v>128.74146169531741</v>
      </c>
      <c r="H468" s="33">
        <f t="shared" si="32"/>
        <v>1.0262965588481165</v>
      </c>
      <c r="I468">
        <f t="shared" si="33"/>
        <v>3.3641299523878843</v>
      </c>
      <c r="J468">
        <f t="shared" si="34"/>
        <v>7.9383880802197382</v>
      </c>
      <c r="K468">
        <f t="shared" si="35"/>
        <v>2.5170766093651764</v>
      </c>
      <c r="L468" s="33">
        <f t="shared" si="36"/>
        <v>14.845891200820915</v>
      </c>
    </row>
    <row r="469" spans="3:12" x14ac:dyDescent="0.3">
      <c r="C469">
        <v>81.080370566342026</v>
      </c>
      <c r="D469">
        <v>68.148014128673822</v>
      </c>
      <c r="E469">
        <v>90.868346887727967</v>
      </c>
      <c r="F469">
        <v>131.65842266142135</v>
      </c>
      <c r="H469" s="33">
        <f t="shared" si="32"/>
        <v>21.60741132684052</v>
      </c>
      <c r="I469">
        <f t="shared" si="33"/>
        <v>3.7039717426523566</v>
      </c>
      <c r="J469">
        <f t="shared" si="34"/>
        <v>17.366937754559331</v>
      </c>
      <c r="K469">
        <f t="shared" si="35"/>
        <v>33.168453228427097</v>
      </c>
      <c r="L469" s="33">
        <f t="shared" si="36"/>
        <v>75.846774052479304</v>
      </c>
    </row>
    <row r="470" spans="3:12" x14ac:dyDescent="0.3">
      <c r="C470">
        <v>80.887353053258266</v>
      </c>
      <c r="D470">
        <v>70.409365839004749</v>
      </c>
      <c r="E470">
        <v>91.11331701191375</v>
      </c>
      <c r="F470">
        <v>131.55401266965782</v>
      </c>
      <c r="H470" s="33">
        <f t="shared" si="32"/>
        <v>17.747061065165326</v>
      </c>
      <c r="I470">
        <f t="shared" si="33"/>
        <v>8.1873167800949886</v>
      </c>
      <c r="J470">
        <f t="shared" si="34"/>
        <v>22.266340238275006</v>
      </c>
      <c r="K470">
        <f t="shared" si="35"/>
        <v>31.080253393156454</v>
      </c>
      <c r="L470" s="33">
        <f t="shared" si="36"/>
        <v>79.280971476691775</v>
      </c>
    </row>
    <row r="471" spans="3:12" x14ac:dyDescent="0.3">
      <c r="C471">
        <v>79.209774159680819</v>
      </c>
      <c r="D471">
        <v>69.166916495596524</v>
      </c>
      <c r="E471">
        <v>90.075921207098872</v>
      </c>
      <c r="F471">
        <v>129.59769525048614</v>
      </c>
      <c r="H471" s="33">
        <f t="shared" ref="H471:H534" si="37">IF(C471&gt;$C$19,(C471-$C$19)*$I$11,($C$19-C471)*$H$11)</f>
        <v>1.5804516806383617</v>
      </c>
      <c r="I471">
        <f t="shared" ref="I471:I534" si="38">IF(D471&gt;$D$19,(D471-$D$19)*$I$11,($D$19-D471)*$H$11)</f>
        <v>1.6661670088069513</v>
      </c>
      <c r="J471">
        <f t="shared" ref="J471:J534" si="39">IF(E471&gt;$E$19,(E471-$E$19)*$I$11,($E$19-E471)*$H$11)</f>
        <v>1.518424141977448</v>
      </c>
      <c r="K471">
        <f t="shared" ref="K471:K534" si="40">IF(F471&gt;$F$19,(F471-$F$19)*$I$11,($F$19-F471)*$H$11)</f>
        <v>0.80460949902771972</v>
      </c>
      <c r="L471" s="33">
        <f t="shared" ref="L471:L534" si="41">SUM(H471:K471)</f>
        <v>5.5696523304504808</v>
      </c>
    </row>
    <row r="472" spans="3:12" x14ac:dyDescent="0.3">
      <c r="C472">
        <v>79.189435584412422</v>
      </c>
      <c r="D472">
        <v>69.544857018918265</v>
      </c>
      <c r="E472">
        <v>89.515125637117308</v>
      </c>
      <c r="F472">
        <v>130.3652485247585</v>
      </c>
      <c r="H472" s="33">
        <f t="shared" si="37"/>
        <v>1.6211288311751559</v>
      </c>
      <c r="I472">
        <f t="shared" si="38"/>
        <v>0.91028596216347069</v>
      </c>
      <c r="J472">
        <f t="shared" si="39"/>
        <v>0.96974872576538473</v>
      </c>
      <c r="K472">
        <f t="shared" si="40"/>
        <v>7.3049704951699823</v>
      </c>
      <c r="L472" s="33">
        <f t="shared" si="41"/>
        <v>10.806134014273994</v>
      </c>
    </row>
    <row r="473" spans="3:12" x14ac:dyDescent="0.3">
      <c r="C473">
        <v>79.102280980878277</v>
      </c>
      <c r="D473">
        <v>68.850410065642791</v>
      </c>
      <c r="E473">
        <v>89.305421169992769</v>
      </c>
      <c r="F473">
        <v>131.07708729046863</v>
      </c>
      <c r="H473" s="33">
        <f t="shared" si="37"/>
        <v>1.7954380382434465</v>
      </c>
      <c r="I473">
        <f t="shared" si="38"/>
        <v>2.2991798687144183</v>
      </c>
      <c r="J473">
        <f t="shared" si="39"/>
        <v>1.3891576600144617</v>
      </c>
      <c r="K473">
        <f t="shared" si="40"/>
        <v>21.541745809372514</v>
      </c>
      <c r="L473" s="33">
        <f t="shared" si="41"/>
        <v>27.025521376344841</v>
      </c>
    </row>
    <row r="474" spans="3:12" x14ac:dyDescent="0.3">
      <c r="C474">
        <v>79.167025634960737</v>
      </c>
      <c r="D474">
        <v>69.865223117012647</v>
      </c>
      <c r="E474">
        <v>89.517963260586839</v>
      </c>
      <c r="F474">
        <v>129.84287796905846</v>
      </c>
      <c r="H474" s="33">
        <f t="shared" si="37"/>
        <v>1.6659487300785258</v>
      </c>
      <c r="I474">
        <f t="shared" si="38"/>
        <v>0.26955376597470604</v>
      </c>
      <c r="J474">
        <f t="shared" si="39"/>
        <v>0.96407347882632166</v>
      </c>
      <c r="K474">
        <f t="shared" si="40"/>
        <v>0.3142440618830733</v>
      </c>
      <c r="L474" s="33">
        <f t="shared" si="41"/>
        <v>3.2138200367626268</v>
      </c>
    </row>
    <row r="475" spans="3:12" x14ac:dyDescent="0.3">
      <c r="C475">
        <v>79.624757265337394</v>
      </c>
      <c r="D475">
        <v>68.923324255883927</v>
      </c>
      <c r="E475">
        <v>91.350979346170789</v>
      </c>
      <c r="F475">
        <v>130.89087279775413</v>
      </c>
      <c r="H475" s="33">
        <f t="shared" si="37"/>
        <v>0.75048546932521276</v>
      </c>
      <c r="I475">
        <f t="shared" si="38"/>
        <v>2.1533514882321469</v>
      </c>
      <c r="J475">
        <f t="shared" si="39"/>
        <v>27.019586923415773</v>
      </c>
      <c r="K475">
        <f t="shared" si="40"/>
        <v>17.817455955082551</v>
      </c>
      <c r="L475" s="33">
        <f t="shared" si="41"/>
        <v>47.740879836055683</v>
      </c>
    </row>
    <row r="476" spans="3:12" x14ac:dyDescent="0.3">
      <c r="C476">
        <v>80.424552126787603</v>
      </c>
      <c r="D476">
        <v>68.721277734148316</v>
      </c>
      <c r="E476">
        <v>87.801223798887804</v>
      </c>
      <c r="F476">
        <v>129.91026243151282</v>
      </c>
      <c r="H476" s="33">
        <f t="shared" si="37"/>
        <v>8.491042535752058</v>
      </c>
      <c r="I476">
        <f t="shared" si="38"/>
        <v>2.5574445317033678</v>
      </c>
      <c r="J476">
        <f t="shared" si="39"/>
        <v>4.3975524022243917</v>
      </c>
      <c r="K476">
        <f t="shared" si="40"/>
        <v>0.17947513697436079</v>
      </c>
      <c r="L476" s="33">
        <f t="shared" si="41"/>
        <v>15.625514606654178</v>
      </c>
    </row>
    <row r="477" spans="3:12" x14ac:dyDescent="0.3">
      <c r="C477">
        <v>80.854267909744522</v>
      </c>
      <c r="D477">
        <v>70.103649426819175</v>
      </c>
      <c r="E477">
        <v>90.146596903505269</v>
      </c>
      <c r="F477">
        <v>129.59802721605229</v>
      </c>
      <c r="H477" s="33">
        <f t="shared" si="37"/>
        <v>17.085358194890432</v>
      </c>
      <c r="I477">
        <f t="shared" si="38"/>
        <v>2.072988536383491</v>
      </c>
      <c r="J477">
        <f t="shared" si="39"/>
        <v>2.9319380701053888</v>
      </c>
      <c r="K477">
        <f t="shared" si="40"/>
        <v>0.80394556789542548</v>
      </c>
      <c r="L477" s="33">
        <f t="shared" si="41"/>
        <v>22.894230369274737</v>
      </c>
    </row>
    <row r="478" spans="3:12" x14ac:dyDescent="0.3">
      <c r="C478">
        <v>80.198001544049475</v>
      </c>
      <c r="D478">
        <v>69.780653752168291</v>
      </c>
      <c r="E478">
        <v>89.431715878017712</v>
      </c>
      <c r="F478">
        <v>129.18240291663096</v>
      </c>
      <c r="H478" s="33">
        <f t="shared" si="37"/>
        <v>3.9600308809895068</v>
      </c>
      <c r="I478">
        <f t="shared" si="38"/>
        <v>0.4386924956634175</v>
      </c>
      <c r="J478">
        <f t="shared" si="39"/>
        <v>1.1365682439645752</v>
      </c>
      <c r="K478">
        <f t="shared" si="40"/>
        <v>1.6351941667380743</v>
      </c>
      <c r="L478" s="33">
        <f t="shared" si="41"/>
        <v>7.1704857873555738</v>
      </c>
    </row>
    <row r="479" spans="3:12" x14ac:dyDescent="0.3">
      <c r="C479">
        <v>81.746693669701926</v>
      </c>
      <c r="D479">
        <v>69.335966549551813</v>
      </c>
      <c r="E479">
        <v>90.790957983554108</v>
      </c>
      <c r="F479">
        <v>130.30511728255078</v>
      </c>
      <c r="H479" s="33">
        <f t="shared" si="37"/>
        <v>34.933873394038528</v>
      </c>
      <c r="I479">
        <f t="shared" si="38"/>
        <v>1.3280669008963741</v>
      </c>
      <c r="J479">
        <f t="shared" si="39"/>
        <v>15.819159671082161</v>
      </c>
      <c r="K479">
        <f t="shared" si="40"/>
        <v>6.1023456510156393</v>
      </c>
      <c r="L479" s="33">
        <f t="shared" si="41"/>
        <v>58.183445617032703</v>
      </c>
    </row>
    <row r="480" spans="3:12" x14ac:dyDescent="0.3">
      <c r="C480">
        <v>79.614724401908461</v>
      </c>
      <c r="D480">
        <v>70.672930582368281</v>
      </c>
      <c r="E480">
        <v>89.91026243151282</v>
      </c>
      <c r="F480">
        <v>129.62303263600916</v>
      </c>
      <c r="H480" s="33">
        <f t="shared" si="37"/>
        <v>0.77055119618307799</v>
      </c>
      <c r="I480">
        <f t="shared" si="38"/>
        <v>13.458611647365615</v>
      </c>
      <c r="J480">
        <f t="shared" si="39"/>
        <v>0.17947513697436079</v>
      </c>
      <c r="K480">
        <f t="shared" si="40"/>
        <v>0.75393472798168659</v>
      </c>
      <c r="L480" s="33">
        <f t="shared" si="41"/>
        <v>15.16257270850474</v>
      </c>
    </row>
    <row r="481" spans="3:12" x14ac:dyDescent="0.3">
      <c r="C481">
        <v>78.833357039984548</v>
      </c>
      <c r="D481">
        <v>70.146751517604571</v>
      </c>
      <c r="E481">
        <v>90.582911070523551</v>
      </c>
      <c r="F481">
        <v>130.84910084297007</v>
      </c>
      <c r="H481" s="33">
        <f t="shared" si="37"/>
        <v>2.3332859200309031</v>
      </c>
      <c r="I481">
        <f t="shared" si="38"/>
        <v>2.9350303520914167</v>
      </c>
      <c r="J481">
        <f t="shared" si="39"/>
        <v>11.658221410471015</v>
      </c>
      <c r="K481">
        <f t="shared" si="40"/>
        <v>16.982016859401483</v>
      </c>
      <c r="L481" s="33">
        <f t="shared" si="41"/>
        <v>33.908554541994818</v>
      </c>
    </row>
    <row r="482" spans="3:12" x14ac:dyDescent="0.3">
      <c r="C482">
        <v>81.014439021673752</v>
      </c>
      <c r="D482">
        <v>70.519762579642702</v>
      </c>
      <c r="E482">
        <v>88.569992385455407</v>
      </c>
      <c r="F482">
        <v>129.50762685330119</v>
      </c>
      <c r="H482" s="33">
        <f t="shared" si="37"/>
        <v>20.28878043347504</v>
      </c>
      <c r="I482">
        <f t="shared" si="38"/>
        <v>10.395251592854038</v>
      </c>
      <c r="J482">
        <f t="shared" si="39"/>
        <v>2.8600152290891856</v>
      </c>
      <c r="K482">
        <f t="shared" si="40"/>
        <v>0.98474629339762032</v>
      </c>
      <c r="L482" s="33">
        <f t="shared" si="41"/>
        <v>34.528793548815884</v>
      </c>
    </row>
    <row r="483" spans="3:12" x14ac:dyDescent="0.3">
      <c r="C483">
        <v>79.901809815128217</v>
      </c>
      <c r="D483">
        <v>70.533736965735443</v>
      </c>
      <c r="E483">
        <v>88.910257090756204</v>
      </c>
      <c r="F483">
        <v>129.50113988234079</v>
      </c>
      <c r="H483" s="33">
        <f t="shared" si="37"/>
        <v>0.1963803697435651</v>
      </c>
      <c r="I483">
        <f t="shared" si="38"/>
        <v>10.674739314708859</v>
      </c>
      <c r="J483">
        <f t="shared" si="39"/>
        <v>2.179485818487592</v>
      </c>
      <c r="K483">
        <f t="shared" si="40"/>
        <v>0.99772023531841114</v>
      </c>
      <c r="L483" s="33">
        <f t="shared" si="41"/>
        <v>14.048325738258427</v>
      </c>
    </row>
    <row r="484" spans="3:12" x14ac:dyDescent="0.3">
      <c r="C484">
        <v>78.418006725842133</v>
      </c>
      <c r="D484">
        <v>70.100726538221352</v>
      </c>
      <c r="E484">
        <v>90.143118086270988</v>
      </c>
      <c r="F484">
        <v>131.75626610143809</v>
      </c>
      <c r="H484" s="33">
        <f t="shared" si="37"/>
        <v>3.1639865483157337</v>
      </c>
      <c r="I484">
        <f t="shared" si="38"/>
        <v>2.014530764427036</v>
      </c>
      <c r="J484">
        <f t="shared" si="39"/>
        <v>2.8623617254197598</v>
      </c>
      <c r="K484">
        <f t="shared" si="40"/>
        <v>35.12532202876173</v>
      </c>
      <c r="L484" s="33">
        <f t="shared" si="41"/>
        <v>43.166201066924259</v>
      </c>
    </row>
    <row r="485" spans="3:12" x14ac:dyDescent="0.3">
      <c r="C485">
        <v>78.194434738252312</v>
      </c>
      <c r="D485">
        <v>70.242208670897526</v>
      </c>
      <c r="E485">
        <v>87.151608113199472</v>
      </c>
      <c r="F485">
        <v>131.34907622850733</v>
      </c>
      <c r="H485" s="33">
        <f t="shared" si="37"/>
        <v>3.6111305234953761</v>
      </c>
      <c r="I485">
        <f t="shared" si="38"/>
        <v>4.8441734179505147</v>
      </c>
      <c r="J485">
        <f t="shared" si="39"/>
        <v>5.6967837736010551</v>
      </c>
      <c r="K485">
        <f t="shared" si="40"/>
        <v>26.981524570146576</v>
      </c>
      <c r="L485" s="33">
        <f t="shared" si="41"/>
        <v>41.133612285193522</v>
      </c>
    </row>
    <row r="486" spans="3:12" x14ac:dyDescent="0.3">
      <c r="C486">
        <v>77.189297573640943</v>
      </c>
      <c r="D486">
        <v>71.119881289923796</v>
      </c>
      <c r="E486">
        <v>90.050395101425238</v>
      </c>
      <c r="F486">
        <v>129.54477289065835</v>
      </c>
      <c r="H486" s="33">
        <f t="shared" si="37"/>
        <v>5.6214048527181149</v>
      </c>
      <c r="I486">
        <f t="shared" si="38"/>
        <v>22.397625798475929</v>
      </c>
      <c r="J486">
        <f t="shared" si="39"/>
        <v>1.0079020285047591</v>
      </c>
      <c r="K486">
        <f t="shared" si="40"/>
        <v>0.91045421868329868</v>
      </c>
      <c r="L486" s="33">
        <f t="shared" si="41"/>
        <v>29.937386898382101</v>
      </c>
    </row>
    <row r="487" spans="3:12" x14ac:dyDescent="0.3">
      <c r="C487">
        <v>79.430456227855757</v>
      </c>
      <c r="D487">
        <v>70.901732164493296</v>
      </c>
      <c r="E487">
        <v>88.014791344758123</v>
      </c>
      <c r="F487">
        <v>131.0023563845607</v>
      </c>
      <c r="H487" s="33">
        <f t="shared" si="37"/>
        <v>1.1390875442884862</v>
      </c>
      <c r="I487">
        <f t="shared" si="38"/>
        <v>18.034643289865926</v>
      </c>
      <c r="J487">
        <f t="shared" si="39"/>
        <v>3.9704173104837537</v>
      </c>
      <c r="K487">
        <f t="shared" si="40"/>
        <v>20.047127691213973</v>
      </c>
      <c r="L487" s="33">
        <f t="shared" si="41"/>
        <v>43.191275835852139</v>
      </c>
    </row>
    <row r="488" spans="3:12" x14ac:dyDescent="0.3">
      <c r="C488">
        <v>80.563077264814638</v>
      </c>
      <c r="D488">
        <v>71.385503765050089</v>
      </c>
      <c r="E488">
        <v>92.186916390201077</v>
      </c>
      <c r="F488">
        <v>131.06419520307099</v>
      </c>
      <c r="H488" s="33">
        <f t="shared" si="37"/>
        <v>11.261545296292752</v>
      </c>
      <c r="I488">
        <f t="shared" si="38"/>
        <v>27.71007530100178</v>
      </c>
      <c r="J488">
        <f t="shared" si="39"/>
        <v>43.738327804021537</v>
      </c>
      <c r="K488">
        <f t="shared" si="40"/>
        <v>21.283904061419889</v>
      </c>
      <c r="L488" s="33">
        <f t="shared" si="41"/>
        <v>103.99385246273596</v>
      </c>
    </row>
    <row r="489" spans="3:12" x14ac:dyDescent="0.3">
      <c r="C489">
        <v>80.335152208208456</v>
      </c>
      <c r="D489">
        <v>70.13076373761578</v>
      </c>
      <c r="E489">
        <v>89.325245880754665</v>
      </c>
      <c r="F489">
        <v>128.72058424443821</v>
      </c>
      <c r="H489" s="33">
        <f t="shared" si="37"/>
        <v>6.7030441641691141</v>
      </c>
      <c r="I489">
        <f t="shared" si="38"/>
        <v>2.6152747523155995</v>
      </c>
      <c r="J489">
        <f t="shared" si="39"/>
        <v>1.3495082384906709</v>
      </c>
      <c r="K489">
        <f t="shared" si="40"/>
        <v>2.5588315111235715</v>
      </c>
      <c r="L489" s="33">
        <f t="shared" si="41"/>
        <v>13.226658666098956</v>
      </c>
    </row>
    <row r="490" spans="3:12" x14ac:dyDescent="0.3">
      <c r="C490">
        <v>80.46185505198082</v>
      </c>
      <c r="D490">
        <v>68.105113263591193</v>
      </c>
      <c r="E490">
        <v>90.84942939793109</v>
      </c>
      <c r="F490">
        <v>128.28077761776512</v>
      </c>
      <c r="H490" s="33">
        <f t="shared" si="37"/>
        <v>9.2371010396163911</v>
      </c>
      <c r="I490">
        <f t="shared" si="38"/>
        <v>3.7897734728176147</v>
      </c>
      <c r="J490">
        <f t="shared" si="39"/>
        <v>16.988587958621792</v>
      </c>
      <c r="K490">
        <f t="shared" si="40"/>
        <v>3.4384447644697502</v>
      </c>
      <c r="L490" s="33">
        <f t="shared" si="41"/>
        <v>33.453907235525548</v>
      </c>
    </row>
    <row r="491" spans="3:12" x14ac:dyDescent="0.3">
      <c r="C491">
        <v>79.735593974037329</v>
      </c>
      <c r="D491">
        <v>69.677122559660347</v>
      </c>
      <c r="E491">
        <v>89.230612957035191</v>
      </c>
      <c r="F491">
        <v>128.61089236219414</v>
      </c>
      <c r="H491" s="33">
        <f t="shared" si="37"/>
        <v>0.52881205192534253</v>
      </c>
      <c r="I491">
        <f t="shared" si="38"/>
        <v>0.64575488067930564</v>
      </c>
      <c r="J491">
        <f t="shared" si="39"/>
        <v>1.5387740859296173</v>
      </c>
      <c r="K491">
        <f t="shared" si="40"/>
        <v>2.7782152756117284</v>
      </c>
      <c r="L491" s="33">
        <f t="shared" si="41"/>
        <v>5.4915562941459939</v>
      </c>
    </row>
    <row r="492" spans="3:12" x14ac:dyDescent="0.3">
      <c r="C492">
        <v>79.723373775850632</v>
      </c>
      <c r="D492">
        <v>70.67417659010971</v>
      </c>
      <c r="E492">
        <v>91.316900579695357</v>
      </c>
      <c r="F492">
        <v>129.13154169917107</v>
      </c>
      <c r="H492" s="33">
        <f t="shared" si="37"/>
        <v>0.55325244829873554</v>
      </c>
      <c r="I492">
        <f t="shared" si="38"/>
        <v>13.483531802194193</v>
      </c>
      <c r="J492">
        <f t="shared" si="39"/>
        <v>26.33801159390714</v>
      </c>
      <c r="K492">
        <f t="shared" si="40"/>
        <v>1.7369166016578674</v>
      </c>
      <c r="L492" s="33">
        <f t="shared" si="41"/>
        <v>42.111712446057936</v>
      </c>
    </row>
    <row r="493" spans="3:12" x14ac:dyDescent="0.3">
      <c r="C493">
        <v>79.453340251420741</v>
      </c>
      <c r="D493">
        <v>70.480147264170228</v>
      </c>
      <c r="E493">
        <v>88.024568412802182</v>
      </c>
      <c r="F493">
        <v>129.10787437329418</v>
      </c>
      <c r="H493" s="33">
        <f t="shared" si="37"/>
        <v>1.0933194971585181</v>
      </c>
      <c r="I493">
        <f t="shared" si="38"/>
        <v>9.6029452834045514</v>
      </c>
      <c r="J493">
        <f t="shared" si="39"/>
        <v>3.9508631743956357</v>
      </c>
      <c r="K493">
        <f t="shared" si="40"/>
        <v>1.7842512534116395</v>
      </c>
      <c r="L493" s="33">
        <f t="shared" si="41"/>
        <v>16.431379208370345</v>
      </c>
    </row>
    <row r="494" spans="3:12" x14ac:dyDescent="0.3">
      <c r="C494">
        <v>79.814698412592406</v>
      </c>
      <c r="D494">
        <v>69.508058863284532</v>
      </c>
      <c r="E494">
        <v>90.402138766730786</v>
      </c>
      <c r="F494">
        <v>130.52309360398795</v>
      </c>
      <c r="H494" s="33">
        <f t="shared" si="37"/>
        <v>0.37060317481518723</v>
      </c>
      <c r="I494">
        <f t="shared" si="38"/>
        <v>0.98388227343093604</v>
      </c>
      <c r="J494">
        <f t="shared" si="39"/>
        <v>8.042775334615726</v>
      </c>
      <c r="K494">
        <f t="shared" si="40"/>
        <v>10.461872079758905</v>
      </c>
      <c r="L494" s="33">
        <f t="shared" si="41"/>
        <v>19.859132862620754</v>
      </c>
    </row>
    <row r="495" spans="3:12" x14ac:dyDescent="0.3">
      <c r="C495">
        <v>80.028882141123177</v>
      </c>
      <c r="D495">
        <v>70.74190666055074</v>
      </c>
      <c r="E495">
        <v>90.769591679272708</v>
      </c>
      <c r="F495">
        <v>130.76620153777185</v>
      </c>
      <c r="H495" s="33">
        <f t="shared" si="37"/>
        <v>0.57764282246353105</v>
      </c>
      <c r="I495">
        <f t="shared" si="38"/>
        <v>14.838133211014792</v>
      </c>
      <c r="J495">
        <f t="shared" si="39"/>
        <v>15.391833585454151</v>
      </c>
      <c r="K495">
        <f t="shared" si="40"/>
        <v>15.324030755436979</v>
      </c>
      <c r="L495" s="33">
        <f t="shared" si="41"/>
        <v>46.131640374369454</v>
      </c>
    </row>
    <row r="496" spans="3:12" x14ac:dyDescent="0.3">
      <c r="C496">
        <v>79.444526110892184</v>
      </c>
      <c r="D496">
        <v>71.946655174833722</v>
      </c>
      <c r="E496">
        <v>91.393741513311397</v>
      </c>
      <c r="F496">
        <v>131.18821617434151</v>
      </c>
      <c r="H496" s="33">
        <f t="shared" si="37"/>
        <v>1.1109477782156318</v>
      </c>
      <c r="I496">
        <f t="shared" si="38"/>
        <v>38.933103496674448</v>
      </c>
      <c r="J496">
        <f t="shared" si="39"/>
        <v>27.874830266227946</v>
      </c>
      <c r="K496">
        <f t="shared" si="40"/>
        <v>23.764323486830108</v>
      </c>
      <c r="L496" s="33">
        <f t="shared" si="41"/>
        <v>91.683205027948134</v>
      </c>
    </row>
    <row r="497" spans="3:12" x14ac:dyDescent="0.3">
      <c r="C497">
        <v>81.12923999040504</v>
      </c>
      <c r="D497">
        <v>69.503218077734346</v>
      </c>
      <c r="E497">
        <v>90.768873178458307</v>
      </c>
      <c r="F497">
        <v>129.89412003742473</v>
      </c>
      <c r="H497" s="33">
        <f t="shared" si="37"/>
        <v>22.584799808100797</v>
      </c>
      <c r="I497">
        <f t="shared" si="38"/>
        <v>0.99356384453130886</v>
      </c>
      <c r="J497">
        <f t="shared" si="39"/>
        <v>15.377463569166139</v>
      </c>
      <c r="K497">
        <f t="shared" si="40"/>
        <v>0.21175992515054531</v>
      </c>
      <c r="L497" s="33">
        <f t="shared" si="41"/>
        <v>39.16758714694879</v>
      </c>
    </row>
    <row r="498" spans="3:12" x14ac:dyDescent="0.3">
      <c r="C498">
        <v>81.007933860819321</v>
      </c>
      <c r="D498">
        <v>71.252315087185707</v>
      </c>
      <c r="E498">
        <v>89.890580966166453</v>
      </c>
      <c r="F498">
        <v>130.9855557436822</v>
      </c>
      <c r="H498" s="33">
        <f t="shared" si="37"/>
        <v>20.158677216386423</v>
      </c>
      <c r="I498">
        <f t="shared" si="38"/>
        <v>25.046301743714139</v>
      </c>
      <c r="J498">
        <f t="shared" si="39"/>
        <v>0.21883806766709313</v>
      </c>
      <c r="K498">
        <f t="shared" si="40"/>
        <v>19.711114873643965</v>
      </c>
      <c r="L498" s="33">
        <f t="shared" si="41"/>
        <v>65.134931901411619</v>
      </c>
    </row>
    <row r="499" spans="3:12" x14ac:dyDescent="0.3">
      <c r="C499">
        <v>81.248636181117035</v>
      </c>
      <c r="D499">
        <v>70.210187636184855</v>
      </c>
      <c r="E499">
        <v>91.105954652302898</v>
      </c>
      <c r="F499">
        <v>130.17131128515757</v>
      </c>
      <c r="H499" s="33">
        <f t="shared" si="37"/>
        <v>24.972723622340709</v>
      </c>
      <c r="I499">
        <f t="shared" si="38"/>
        <v>4.2037527236971073</v>
      </c>
      <c r="J499">
        <f t="shared" si="39"/>
        <v>22.119093046057969</v>
      </c>
      <c r="K499">
        <f t="shared" si="40"/>
        <v>3.4262257031514309</v>
      </c>
      <c r="L499" s="33">
        <f t="shared" si="41"/>
        <v>54.721795095247217</v>
      </c>
    </row>
    <row r="500" spans="3:12" x14ac:dyDescent="0.3">
      <c r="C500">
        <v>82.037832018686458</v>
      </c>
      <c r="D500">
        <v>68.143748598522507</v>
      </c>
      <c r="E500">
        <v>88.975656581023941</v>
      </c>
      <c r="F500">
        <v>130.54160409490578</v>
      </c>
      <c r="H500" s="33">
        <f t="shared" si="37"/>
        <v>40.756640373729169</v>
      </c>
      <c r="I500">
        <f t="shared" si="38"/>
        <v>3.7125028029549867</v>
      </c>
      <c r="J500">
        <f t="shared" si="39"/>
        <v>2.0486868379521184</v>
      </c>
      <c r="K500">
        <f t="shared" si="40"/>
        <v>10.832081898115575</v>
      </c>
      <c r="L500" s="33">
        <f t="shared" si="41"/>
        <v>57.34991191275185</v>
      </c>
    </row>
    <row r="501" spans="3:12" x14ac:dyDescent="0.3">
      <c r="C501">
        <v>78.587218215106986</v>
      </c>
      <c r="D501">
        <v>68.767548277101014</v>
      </c>
      <c r="E501">
        <v>90.609225025982596</v>
      </c>
      <c r="F501">
        <v>132.30695150094107</v>
      </c>
      <c r="H501" s="33">
        <f t="shared" si="37"/>
        <v>2.8255635697860271</v>
      </c>
      <c r="I501">
        <f t="shared" si="38"/>
        <v>2.4649034457979724</v>
      </c>
      <c r="J501">
        <f t="shared" si="39"/>
        <v>12.18450051965192</v>
      </c>
      <c r="K501">
        <f t="shared" si="40"/>
        <v>46.139030018821359</v>
      </c>
      <c r="L501" s="33">
        <f t="shared" si="41"/>
        <v>63.613997554057278</v>
      </c>
    </row>
    <row r="502" spans="3:12" x14ac:dyDescent="0.3">
      <c r="C502">
        <v>77.716495272470638</v>
      </c>
      <c r="D502">
        <v>69.215822299447609</v>
      </c>
      <c r="E502">
        <v>89.30064291220333</v>
      </c>
      <c r="F502">
        <v>129.99391775418189</v>
      </c>
      <c r="H502" s="33">
        <f t="shared" si="37"/>
        <v>4.5670094550587237</v>
      </c>
      <c r="I502">
        <f t="shared" si="38"/>
        <v>1.5683554011047818</v>
      </c>
      <c r="J502">
        <f t="shared" si="39"/>
        <v>1.3987141755933408</v>
      </c>
      <c r="K502">
        <f t="shared" si="40"/>
        <v>1.2164491636212915E-2</v>
      </c>
      <c r="L502" s="33">
        <f t="shared" si="41"/>
        <v>7.5462435233930591</v>
      </c>
    </row>
    <row r="503" spans="3:12" x14ac:dyDescent="0.3">
      <c r="C503">
        <v>78.877824509690981</v>
      </c>
      <c r="D503">
        <v>70.139718849823112</v>
      </c>
      <c r="E503">
        <v>90.899551650945796</v>
      </c>
      <c r="F503">
        <v>128.30733031558339</v>
      </c>
      <c r="H503" s="33">
        <f t="shared" si="37"/>
        <v>2.2443509806180373</v>
      </c>
      <c r="I503">
        <f t="shared" si="38"/>
        <v>2.7943769964622334</v>
      </c>
      <c r="J503">
        <f t="shared" si="39"/>
        <v>17.991033018915914</v>
      </c>
      <c r="K503">
        <f t="shared" si="40"/>
        <v>3.3853393688332289</v>
      </c>
      <c r="L503" s="33">
        <f t="shared" si="41"/>
        <v>26.415100364829414</v>
      </c>
    </row>
    <row r="504" spans="3:12" x14ac:dyDescent="0.3">
      <c r="C504">
        <v>80.493582774652168</v>
      </c>
      <c r="D504">
        <v>67.839877323713154</v>
      </c>
      <c r="E504">
        <v>90.648378772893921</v>
      </c>
      <c r="F504">
        <v>129.30113062873716</v>
      </c>
      <c r="H504" s="33">
        <f t="shared" si="37"/>
        <v>9.8716554930433631</v>
      </c>
      <c r="I504">
        <f t="shared" si="38"/>
        <v>4.3202453525736928</v>
      </c>
      <c r="J504">
        <f t="shared" si="39"/>
        <v>12.967575457878411</v>
      </c>
      <c r="K504">
        <f t="shared" si="40"/>
        <v>1.3977387425256893</v>
      </c>
      <c r="L504" s="33">
        <f t="shared" si="41"/>
        <v>28.557215046021156</v>
      </c>
    </row>
    <row r="505" spans="3:12" x14ac:dyDescent="0.3">
      <c r="C505">
        <v>80.705820184521144</v>
      </c>
      <c r="D505">
        <v>69.525082330364967</v>
      </c>
      <c r="E505">
        <v>90.152167558553629</v>
      </c>
      <c r="F505">
        <v>129.90565243024321</v>
      </c>
      <c r="H505" s="33">
        <f t="shared" si="37"/>
        <v>14.116403690422885</v>
      </c>
      <c r="I505">
        <f t="shared" si="38"/>
        <v>0.94983533927006647</v>
      </c>
      <c r="J505">
        <f t="shared" si="39"/>
        <v>3.0433511710725725</v>
      </c>
      <c r="K505">
        <f t="shared" si="40"/>
        <v>0.18869513951358385</v>
      </c>
      <c r="L505" s="33">
        <f t="shared" si="41"/>
        <v>18.298285340279108</v>
      </c>
    </row>
    <row r="506" spans="3:12" x14ac:dyDescent="0.3">
      <c r="C506">
        <v>79.529018168686889</v>
      </c>
      <c r="D506">
        <v>70.070781425165478</v>
      </c>
      <c r="E506">
        <v>89.176511664700229</v>
      </c>
      <c r="F506">
        <v>131.14368504000595</v>
      </c>
      <c r="H506" s="33">
        <f t="shared" si="37"/>
        <v>0.94196366262622178</v>
      </c>
      <c r="I506">
        <f t="shared" si="38"/>
        <v>1.4156285033095628</v>
      </c>
      <c r="J506">
        <f t="shared" si="39"/>
        <v>1.6469766705995426</v>
      </c>
      <c r="K506">
        <f t="shared" si="40"/>
        <v>22.873700800118968</v>
      </c>
      <c r="L506" s="33">
        <f t="shared" si="41"/>
        <v>26.878269636654295</v>
      </c>
    </row>
    <row r="507" spans="3:12" x14ac:dyDescent="0.3">
      <c r="C507">
        <v>80.867344169819262</v>
      </c>
      <c r="D507">
        <v>70.151393351188744</v>
      </c>
      <c r="E507">
        <v>90.831353190733353</v>
      </c>
      <c r="F507">
        <v>129.77100515025086</v>
      </c>
      <c r="H507" s="33">
        <f t="shared" si="37"/>
        <v>17.346883396385238</v>
      </c>
      <c r="I507">
        <f t="shared" si="38"/>
        <v>3.0278670237748884</v>
      </c>
      <c r="J507">
        <f t="shared" si="39"/>
        <v>16.627063814667054</v>
      </c>
      <c r="K507">
        <f t="shared" si="40"/>
        <v>0.45798969949828461</v>
      </c>
      <c r="L507" s="33">
        <f t="shared" si="41"/>
        <v>37.459803934325464</v>
      </c>
    </row>
    <row r="508" spans="3:12" x14ac:dyDescent="0.3">
      <c r="C508">
        <v>81.355565473204479</v>
      </c>
      <c r="D508">
        <v>71.446144324290799</v>
      </c>
      <c r="E508">
        <v>89.886115347180748</v>
      </c>
      <c r="F508">
        <v>128.27301508048549</v>
      </c>
      <c r="H508" s="33">
        <f t="shared" si="37"/>
        <v>27.111309464089572</v>
      </c>
      <c r="I508">
        <f t="shared" si="38"/>
        <v>28.92288648581598</v>
      </c>
      <c r="J508">
        <f t="shared" si="39"/>
        <v>0.22776930563850328</v>
      </c>
      <c r="K508">
        <f t="shared" si="40"/>
        <v>3.4539698390290141</v>
      </c>
      <c r="L508" s="33">
        <f t="shared" si="41"/>
        <v>59.715935094573069</v>
      </c>
    </row>
    <row r="509" spans="3:12" x14ac:dyDescent="0.3">
      <c r="C509">
        <v>79.11638496996602</v>
      </c>
      <c r="D509">
        <v>70.202372802959871</v>
      </c>
      <c r="E509">
        <v>90.3798436409852</v>
      </c>
      <c r="F509">
        <v>129.4133690961462</v>
      </c>
      <c r="H509" s="33">
        <f t="shared" si="37"/>
        <v>1.7672300600679591</v>
      </c>
      <c r="I509">
        <f t="shared" si="38"/>
        <v>4.0474560591974296</v>
      </c>
      <c r="J509">
        <f t="shared" si="39"/>
        <v>7.5968728197040036</v>
      </c>
      <c r="K509">
        <f t="shared" si="40"/>
        <v>1.173261807707604</v>
      </c>
      <c r="L509" s="33">
        <f t="shared" si="41"/>
        <v>14.584820746676996</v>
      </c>
    </row>
    <row r="510" spans="3:12" x14ac:dyDescent="0.3">
      <c r="C510">
        <v>79.076455878821434</v>
      </c>
      <c r="D510">
        <v>69.885345687289373</v>
      </c>
      <c r="E510">
        <v>90.443380940851057</v>
      </c>
      <c r="F510">
        <v>128.71919499128126</v>
      </c>
      <c r="H510" s="33">
        <f t="shared" si="37"/>
        <v>1.8470882423571311</v>
      </c>
      <c r="I510">
        <f t="shared" si="38"/>
        <v>0.22930862542125396</v>
      </c>
      <c r="J510">
        <f t="shared" si="39"/>
        <v>8.867618817021139</v>
      </c>
      <c r="K510">
        <f t="shared" si="40"/>
        <v>2.5616100174374878</v>
      </c>
      <c r="L510" s="33">
        <f t="shared" si="41"/>
        <v>13.505625702237012</v>
      </c>
    </row>
    <row r="511" spans="3:12" x14ac:dyDescent="0.3">
      <c r="C511">
        <v>79.941867372399429</v>
      </c>
      <c r="D511">
        <v>70.117888703243807</v>
      </c>
      <c r="E511">
        <v>92.279375621583313</v>
      </c>
      <c r="F511">
        <v>130.6336301794363</v>
      </c>
      <c r="H511" s="33">
        <f t="shared" si="37"/>
        <v>0.11626525520114228</v>
      </c>
      <c r="I511">
        <f t="shared" si="38"/>
        <v>2.3577740648761392</v>
      </c>
      <c r="J511">
        <f t="shared" si="39"/>
        <v>45.587512431666255</v>
      </c>
      <c r="K511">
        <f t="shared" si="40"/>
        <v>12.672603588725906</v>
      </c>
      <c r="L511" s="33">
        <f t="shared" si="41"/>
        <v>60.734155340469442</v>
      </c>
    </row>
    <row r="512" spans="3:12" x14ac:dyDescent="0.3">
      <c r="C512">
        <v>78.813332240388263</v>
      </c>
      <c r="D512">
        <v>71.604862518433947</v>
      </c>
      <c r="E512">
        <v>90.786676537245512</v>
      </c>
      <c r="F512">
        <v>131.55069301399635</v>
      </c>
      <c r="H512" s="33">
        <f t="shared" si="37"/>
        <v>2.373335519223474</v>
      </c>
      <c r="I512">
        <f t="shared" si="38"/>
        <v>32.097250368678942</v>
      </c>
      <c r="J512">
        <f t="shared" si="39"/>
        <v>15.73353074491024</v>
      </c>
      <c r="K512">
        <f t="shared" si="40"/>
        <v>31.01386027992703</v>
      </c>
      <c r="L512" s="33">
        <f t="shared" si="41"/>
        <v>81.217976912739687</v>
      </c>
    </row>
    <row r="513" spans="3:12" x14ac:dyDescent="0.3">
      <c r="C513">
        <v>78.476969267358072</v>
      </c>
      <c r="D513">
        <v>70.688844465912553</v>
      </c>
      <c r="E513">
        <v>91.439213974663289</v>
      </c>
      <c r="F513">
        <v>129.31522324914113</v>
      </c>
      <c r="H513" s="33">
        <f t="shared" si="37"/>
        <v>3.0460614652838558</v>
      </c>
      <c r="I513">
        <f t="shared" si="38"/>
        <v>13.776889318251051</v>
      </c>
      <c r="J513">
        <f t="shared" si="39"/>
        <v>28.784279493265785</v>
      </c>
      <c r="K513">
        <f t="shared" si="40"/>
        <v>1.3695535017177463</v>
      </c>
      <c r="L513" s="33">
        <f t="shared" si="41"/>
        <v>46.976783778518438</v>
      </c>
    </row>
    <row r="514" spans="3:12" x14ac:dyDescent="0.3">
      <c r="C514">
        <v>80.448450236945064</v>
      </c>
      <c r="D514">
        <v>70.548347998119425</v>
      </c>
      <c r="E514">
        <v>88.759167283424176</v>
      </c>
      <c r="F514">
        <v>129.52927510094014</v>
      </c>
      <c r="H514" s="33">
        <f t="shared" si="37"/>
        <v>8.9690047389012761</v>
      </c>
      <c r="I514">
        <f t="shared" si="38"/>
        <v>10.966959962388501</v>
      </c>
      <c r="J514">
        <f t="shared" si="39"/>
        <v>2.4816654331516474</v>
      </c>
      <c r="K514">
        <f t="shared" si="40"/>
        <v>0.94144979811972007</v>
      </c>
      <c r="L514" s="33">
        <f t="shared" si="41"/>
        <v>23.359079932561144</v>
      </c>
    </row>
    <row r="515" spans="3:12" x14ac:dyDescent="0.3">
      <c r="C515">
        <v>80.992793047771556</v>
      </c>
      <c r="D515">
        <v>67.916802385589108</v>
      </c>
      <c r="E515">
        <v>90.483412350149592</v>
      </c>
      <c r="F515">
        <v>129.750300503365</v>
      </c>
      <c r="H515" s="33">
        <f t="shared" si="37"/>
        <v>19.855860955431126</v>
      </c>
      <c r="I515">
        <f t="shared" si="38"/>
        <v>4.1663952288217843</v>
      </c>
      <c r="J515">
        <f t="shared" si="39"/>
        <v>9.6682470029918477</v>
      </c>
      <c r="K515">
        <f t="shared" si="40"/>
        <v>0.49939899327000603</v>
      </c>
      <c r="L515" s="33">
        <f t="shared" si="41"/>
        <v>34.189902180514764</v>
      </c>
    </row>
    <row r="516" spans="3:12" x14ac:dyDescent="0.3">
      <c r="C516">
        <v>81.018286184262251</v>
      </c>
      <c r="D516">
        <v>68.905814209138043</v>
      </c>
      <c r="E516">
        <v>89.349258814618224</v>
      </c>
      <c r="F516">
        <v>131.36911239678739</v>
      </c>
      <c r="H516" s="33">
        <f t="shared" si="37"/>
        <v>20.36572368524503</v>
      </c>
      <c r="I516">
        <f t="shared" si="38"/>
        <v>2.1883715817239136</v>
      </c>
      <c r="J516">
        <f t="shared" si="39"/>
        <v>1.3014823707635514</v>
      </c>
      <c r="K516">
        <f t="shared" si="40"/>
        <v>27.382247935747728</v>
      </c>
      <c r="L516" s="33">
        <f t="shared" si="41"/>
        <v>51.237825573480222</v>
      </c>
    </row>
    <row r="517" spans="3:12" x14ac:dyDescent="0.3">
      <c r="C517">
        <v>79.606473011226626</v>
      </c>
      <c r="D517">
        <v>69.853635017643683</v>
      </c>
      <c r="E517">
        <v>88.539560692734085</v>
      </c>
      <c r="F517">
        <v>130.30647925086669</v>
      </c>
      <c r="H517" s="33">
        <f t="shared" si="37"/>
        <v>0.78705397754674777</v>
      </c>
      <c r="I517">
        <f t="shared" si="38"/>
        <v>0.29272996471263468</v>
      </c>
      <c r="J517">
        <f t="shared" si="39"/>
        <v>2.92087861453183</v>
      </c>
      <c r="K517">
        <f t="shared" si="40"/>
        <v>6.1295850173337385</v>
      </c>
      <c r="L517" s="33">
        <f t="shared" si="41"/>
        <v>10.130247574124951</v>
      </c>
    </row>
    <row r="518" spans="3:12" x14ac:dyDescent="0.3">
      <c r="C518">
        <v>80.452175754617201</v>
      </c>
      <c r="D518">
        <v>70.314105363941053</v>
      </c>
      <c r="E518">
        <v>89.103538357303478</v>
      </c>
      <c r="F518">
        <v>130.48650917960913</v>
      </c>
      <c r="H518" s="33">
        <f t="shared" si="37"/>
        <v>9.0435150923440233</v>
      </c>
      <c r="I518">
        <f t="shared" si="38"/>
        <v>6.2821072788210586</v>
      </c>
      <c r="J518">
        <f t="shared" si="39"/>
        <v>1.7929232853930444</v>
      </c>
      <c r="K518">
        <f t="shared" si="40"/>
        <v>9.7301835921825841</v>
      </c>
      <c r="L518" s="33">
        <f t="shared" si="41"/>
        <v>26.84872924874071</v>
      </c>
    </row>
    <row r="519" spans="3:12" x14ac:dyDescent="0.3">
      <c r="C519">
        <v>80.070322130341083</v>
      </c>
      <c r="D519">
        <v>68.475500433414709</v>
      </c>
      <c r="E519">
        <v>89.271824435709277</v>
      </c>
      <c r="F519">
        <v>130.46126046981954</v>
      </c>
      <c r="H519" s="33">
        <f t="shared" si="37"/>
        <v>1.4064426068216562</v>
      </c>
      <c r="I519">
        <f t="shared" si="38"/>
        <v>3.0489991331705824</v>
      </c>
      <c r="J519">
        <f t="shared" si="39"/>
        <v>1.4563511285814457</v>
      </c>
      <c r="K519">
        <f t="shared" si="40"/>
        <v>9.22520939639071</v>
      </c>
      <c r="L519" s="33">
        <f t="shared" si="41"/>
        <v>15.137002264964394</v>
      </c>
    </row>
    <row r="520" spans="3:12" x14ac:dyDescent="0.3">
      <c r="C520">
        <v>81.888020051410422</v>
      </c>
      <c r="D520">
        <v>69.922928282103385</v>
      </c>
      <c r="E520">
        <v>89.354072315327358</v>
      </c>
      <c r="F520">
        <v>129.77218294588965</v>
      </c>
      <c r="H520" s="33">
        <f t="shared" si="37"/>
        <v>37.760401028208435</v>
      </c>
      <c r="I520">
        <f t="shared" si="38"/>
        <v>0.15414343579323031</v>
      </c>
      <c r="J520">
        <f t="shared" si="39"/>
        <v>1.291855369345285</v>
      </c>
      <c r="K520">
        <f t="shared" si="40"/>
        <v>0.45563410822069272</v>
      </c>
      <c r="L520" s="33">
        <f t="shared" si="41"/>
        <v>39.662033941567643</v>
      </c>
    </row>
    <row r="521" spans="3:12" x14ac:dyDescent="0.3">
      <c r="C521">
        <v>80.25238364287361</v>
      </c>
      <c r="D521">
        <v>70.071088379627327</v>
      </c>
      <c r="E521">
        <v>89.064436906337505</v>
      </c>
      <c r="F521">
        <v>130.74897570812027</v>
      </c>
      <c r="H521" s="33">
        <f t="shared" si="37"/>
        <v>5.0476728574722074</v>
      </c>
      <c r="I521">
        <f t="shared" si="38"/>
        <v>1.4217675925465301</v>
      </c>
      <c r="J521">
        <f t="shared" si="39"/>
        <v>1.8711261873249896</v>
      </c>
      <c r="K521">
        <f t="shared" si="40"/>
        <v>14.979514162405394</v>
      </c>
      <c r="L521" s="33">
        <f t="shared" si="41"/>
        <v>23.320080799749121</v>
      </c>
    </row>
    <row r="522" spans="3:12" x14ac:dyDescent="0.3">
      <c r="C522">
        <v>79.858736146052252</v>
      </c>
      <c r="D522">
        <v>70.396753421227913</v>
      </c>
      <c r="E522">
        <v>89.82822259880777</v>
      </c>
      <c r="F522">
        <v>129.94554400473135</v>
      </c>
      <c r="H522" s="33">
        <f t="shared" si="37"/>
        <v>0.28252770789549686</v>
      </c>
      <c r="I522">
        <f t="shared" si="38"/>
        <v>7.935068424558267</v>
      </c>
      <c r="J522">
        <f t="shared" si="39"/>
        <v>0.34355480238446034</v>
      </c>
      <c r="K522">
        <f t="shared" si="40"/>
        <v>0.10891199053730816</v>
      </c>
      <c r="L522" s="33">
        <f t="shared" si="41"/>
        <v>8.6700629253755324</v>
      </c>
    </row>
    <row r="523" spans="3:12" x14ac:dyDescent="0.3">
      <c r="C523">
        <v>79.780732196086319</v>
      </c>
      <c r="D523">
        <v>69.940564521239139</v>
      </c>
      <c r="E523">
        <v>89.149911218410125</v>
      </c>
      <c r="F523">
        <v>128.41101725905901</v>
      </c>
      <c r="H523" s="33">
        <f t="shared" si="37"/>
        <v>0.43853560782736167</v>
      </c>
      <c r="I523">
        <f t="shared" si="38"/>
        <v>0.11887095752172172</v>
      </c>
      <c r="J523">
        <f t="shared" si="39"/>
        <v>1.70017756317975</v>
      </c>
      <c r="K523">
        <f t="shared" si="40"/>
        <v>3.1779654818819836</v>
      </c>
      <c r="L523" s="33">
        <f t="shared" si="41"/>
        <v>5.435549610410817</v>
      </c>
    </row>
    <row r="524" spans="3:12" x14ac:dyDescent="0.3">
      <c r="C524">
        <v>79.768883753858972</v>
      </c>
      <c r="D524">
        <v>70.212925215237192</v>
      </c>
      <c r="E524">
        <v>88.938092176103964</v>
      </c>
      <c r="F524">
        <v>130.02383103492321</v>
      </c>
      <c r="H524" s="33">
        <f t="shared" si="37"/>
        <v>0.46223249228205532</v>
      </c>
      <c r="I524">
        <f t="shared" si="38"/>
        <v>4.2585043047438376</v>
      </c>
      <c r="J524">
        <f t="shared" si="39"/>
        <v>2.1238156477920711</v>
      </c>
      <c r="K524">
        <f t="shared" si="40"/>
        <v>0.47662069846410304</v>
      </c>
      <c r="L524" s="33">
        <f t="shared" si="41"/>
        <v>7.321173143282067</v>
      </c>
    </row>
    <row r="525" spans="3:12" x14ac:dyDescent="0.3">
      <c r="C525">
        <v>82.111491994583048</v>
      </c>
      <c r="D525">
        <v>70.044038870328222</v>
      </c>
      <c r="E525">
        <v>90.019546178009477</v>
      </c>
      <c r="F525">
        <v>129.43960915516072</v>
      </c>
      <c r="H525" s="33">
        <f t="shared" si="37"/>
        <v>42.229839891660959</v>
      </c>
      <c r="I525">
        <f t="shared" si="38"/>
        <v>0.88077740656444803</v>
      </c>
      <c r="J525">
        <f t="shared" si="39"/>
        <v>0.39092356018954888</v>
      </c>
      <c r="K525">
        <f t="shared" si="40"/>
        <v>1.1207816896785516</v>
      </c>
      <c r="L525" s="33">
        <f t="shared" si="41"/>
        <v>44.622322548093507</v>
      </c>
    </row>
    <row r="526" spans="3:12" x14ac:dyDescent="0.3">
      <c r="C526">
        <v>79.378107986558462</v>
      </c>
      <c r="D526">
        <v>70.015185150914476</v>
      </c>
      <c r="E526">
        <v>90.005469473762787</v>
      </c>
      <c r="F526">
        <v>131.56981514010113</v>
      </c>
      <c r="H526" s="33">
        <f t="shared" si="37"/>
        <v>1.2437840268830769</v>
      </c>
      <c r="I526">
        <f t="shared" si="38"/>
        <v>0.30370301828952506</v>
      </c>
      <c r="J526">
        <f t="shared" si="39"/>
        <v>0.10938947525573894</v>
      </c>
      <c r="K526">
        <f t="shared" si="40"/>
        <v>31.396302802022547</v>
      </c>
      <c r="L526" s="33">
        <f t="shared" si="41"/>
        <v>33.053179322450887</v>
      </c>
    </row>
    <row r="527" spans="3:12" x14ac:dyDescent="0.3">
      <c r="C527">
        <v>80.969030224950984</v>
      </c>
      <c r="D527">
        <v>72.620145096443594</v>
      </c>
      <c r="E527">
        <v>90.46381501306314</v>
      </c>
      <c r="F527">
        <v>129.48312506603543</v>
      </c>
      <c r="H527" s="33">
        <f t="shared" si="37"/>
        <v>19.380604499019682</v>
      </c>
      <c r="I527">
        <f t="shared" si="38"/>
        <v>52.40290192887187</v>
      </c>
      <c r="J527">
        <f t="shared" si="39"/>
        <v>9.2763002612628043</v>
      </c>
      <c r="K527">
        <f t="shared" si="40"/>
        <v>1.0337498679291457</v>
      </c>
      <c r="L527" s="33">
        <f t="shared" si="41"/>
        <v>82.093556557083502</v>
      </c>
    </row>
    <row r="528" spans="3:12" x14ac:dyDescent="0.3">
      <c r="C528">
        <v>78.419075382116716</v>
      </c>
      <c r="D528">
        <v>69.166700490604853</v>
      </c>
      <c r="E528">
        <v>91.432563294656575</v>
      </c>
      <c r="F528">
        <v>131.19678134069545</v>
      </c>
      <c r="H528" s="33">
        <f t="shared" si="37"/>
        <v>3.1618492357665673</v>
      </c>
      <c r="I528">
        <f t="shared" si="38"/>
        <v>1.6665990187902935</v>
      </c>
      <c r="J528">
        <f t="shared" si="39"/>
        <v>28.651265893131495</v>
      </c>
      <c r="K528">
        <f t="shared" si="40"/>
        <v>23.935626813909039</v>
      </c>
      <c r="L528" s="33">
        <f t="shared" si="41"/>
        <v>57.415340961597394</v>
      </c>
    </row>
    <row r="529" spans="3:12" x14ac:dyDescent="0.3">
      <c r="C529">
        <v>80.170534804055933</v>
      </c>
      <c r="D529">
        <v>71.510229594714474</v>
      </c>
      <c r="E529">
        <v>90.262664343608776</v>
      </c>
      <c r="F529">
        <v>130.65433823692729</v>
      </c>
      <c r="H529" s="33">
        <f t="shared" si="37"/>
        <v>3.4106960811186582</v>
      </c>
      <c r="I529">
        <f t="shared" si="38"/>
        <v>30.204591894289479</v>
      </c>
      <c r="J529">
        <f t="shared" si="39"/>
        <v>5.2532868721755221</v>
      </c>
      <c r="K529">
        <f t="shared" si="40"/>
        <v>13.086764738545753</v>
      </c>
      <c r="L529" s="33">
        <f t="shared" si="41"/>
        <v>51.955339586129412</v>
      </c>
    </row>
    <row r="530" spans="3:12" x14ac:dyDescent="0.3">
      <c r="C530">
        <v>78.929176854289835</v>
      </c>
      <c r="D530">
        <v>68.309885995695367</v>
      </c>
      <c r="E530">
        <v>90.248752485276782</v>
      </c>
      <c r="F530">
        <v>128.45865659153787</v>
      </c>
      <c r="H530" s="33">
        <f t="shared" si="37"/>
        <v>2.1416462914203294</v>
      </c>
      <c r="I530">
        <f t="shared" si="38"/>
        <v>3.3802280086092651</v>
      </c>
      <c r="J530">
        <f t="shared" si="39"/>
        <v>4.9750497055356391</v>
      </c>
      <c r="K530">
        <f t="shared" si="40"/>
        <v>3.0826868169242516</v>
      </c>
      <c r="L530" s="33">
        <f t="shared" si="41"/>
        <v>13.579610822489485</v>
      </c>
    </row>
    <row r="531" spans="3:12" x14ac:dyDescent="0.3">
      <c r="C531">
        <v>80.39865767575975</v>
      </c>
      <c r="D531">
        <v>69.142862634471385</v>
      </c>
      <c r="E531">
        <v>89.05264076005551</v>
      </c>
      <c r="F531">
        <v>130.8214510671678</v>
      </c>
      <c r="H531" s="33">
        <f t="shared" si="37"/>
        <v>7.9731535151950084</v>
      </c>
      <c r="I531">
        <f t="shared" si="38"/>
        <v>1.7142747310572304</v>
      </c>
      <c r="J531">
        <f t="shared" si="39"/>
        <v>1.8947184798889793</v>
      </c>
      <c r="K531">
        <f t="shared" si="40"/>
        <v>16.429021343355998</v>
      </c>
      <c r="L531" s="33">
        <f t="shared" si="41"/>
        <v>28.011168069497216</v>
      </c>
    </row>
    <row r="532" spans="3:12" x14ac:dyDescent="0.3">
      <c r="C532">
        <v>79.293297605618136</v>
      </c>
      <c r="D532">
        <v>70.197221652342705</v>
      </c>
      <c r="E532">
        <v>89.492022197955521</v>
      </c>
      <c r="F532">
        <v>131.35288701130776</v>
      </c>
      <c r="H532" s="33">
        <f t="shared" si="37"/>
        <v>1.413404788763728</v>
      </c>
      <c r="I532">
        <f t="shared" si="38"/>
        <v>3.9444330468541011</v>
      </c>
      <c r="J532">
        <f t="shared" si="39"/>
        <v>1.0159556040889584</v>
      </c>
      <c r="K532">
        <f t="shared" si="40"/>
        <v>27.057740226155147</v>
      </c>
      <c r="L532" s="33">
        <f t="shared" si="41"/>
        <v>33.431533665861934</v>
      </c>
    </row>
    <row r="533" spans="3:12" x14ac:dyDescent="0.3">
      <c r="C533">
        <v>78.82714064369793</v>
      </c>
      <c r="D533">
        <v>70.211516635317821</v>
      </c>
      <c r="E533">
        <v>89.355109139287379</v>
      </c>
      <c r="F533">
        <v>132.1157757146284</v>
      </c>
      <c r="H533" s="33">
        <f t="shared" si="37"/>
        <v>2.345718712604139</v>
      </c>
      <c r="I533">
        <f t="shared" si="38"/>
        <v>4.2303327063564211</v>
      </c>
      <c r="J533">
        <f t="shared" si="39"/>
        <v>1.2897817214252427</v>
      </c>
      <c r="K533">
        <f t="shared" si="40"/>
        <v>42.315514292567968</v>
      </c>
      <c r="L533" s="33">
        <f t="shared" si="41"/>
        <v>50.181347432953771</v>
      </c>
    </row>
    <row r="534" spans="3:12" x14ac:dyDescent="0.3">
      <c r="C534">
        <v>78.413713910849765</v>
      </c>
      <c r="D534">
        <v>70.391710273106582</v>
      </c>
      <c r="E534">
        <v>88.542884895869065</v>
      </c>
      <c r="F534">
        <v>131.20987806440098</v>
      </c>
      <c r="H534" s="33">
        <f t="shared" si="37"/>
        <v>3.1725721783004701</v>
      </c>
      <c r="I534">
        <f t="shared" si="38"/>
        <v>7.8342054621316493</v>
      </c>
      <c r="J534">
        <f t="shared" si="39"/>
        <v>2.9142302082618698</v>
      </c>
      <c r="K534">
        <f t="shared" si="40"/>
        <v>24.197561288019642</v>
      </c>
      <c r="L534" s="33">
        <f t="shared" si="41"/>
        <v>38.118569136713631</v>
      </c>
    </row>
    <row r="535" spans="3:12" x14ac:dyDescent="0.3">
      <c r="C535">
        <v>80.162081050802954</v>
      </c>
      <c r="D535">
        <v>68.419343683053739</v>
      </c>
      <c r="E535">
        <v>91.202595285576535</v>
      </c>
      <c r="F535">
        <v>129.00695684118546</v>
      </c>
      <c r="H535" s="33">
        <f t="shared" ref="H535:H598" si="42">IF(C535&gt;$C$19,(C535-$C$19)*$I$11,($C$19-C535)*$H$11)</f>
        <v>3.2416210160590708</v>
      </c>
      <c r="I535">
        <f t="shared" ref="I535:I598" si="43">IF(D535&gt;$D$19,(D535-$D$19)*$I$11,($D$19-D535)*$H$11)</f>
        <v>3.1613126338925213</v>
      </c>
      <c r="J535">
        <f t="shared" ref="J535:J598" si="44">IF(E535&gt;$E$19,(E535-$E$19)*$I$11,($E$19-E535)*$H$11)</f>
        <v>24.051905711530708</v>
      </c>
      <c r="K535">
        <f t="shared" ref="K535:K598" si="45">IF(F535&gt;$F$19,(F535-$F$19)*$I$11,($F$19-F535)*$H$11)</f>
        <v>1.9860863176290877</v>
      </c>
      <c r="L535" s="33">
        <f t="shared" ref="L535:L598" si="46">SUM(H535:K535)</f>
        <v>32.440925679111388</v>
      </c>
    </row>
    <row r="536" spans="3:12" x14ac:dyDescent="0.3">
      <c r="C536">
        <v>79.868928171053994</v>
      </c>
      <c r="D536">
        <v>71.351359060208779</v>
      </c>
      <c r="E536">
        <v>89.657393345842138</v>
      </c>
      <c r="F536">
        <v>131.15927150545758</v>
      </c>
      <c r="H536" s="33">
        <f t="shared" si="42"/>
        <v>0.26214365789201111</v>
      </c>
      <c r="I536">
        <f t="shared" si="43"/>
        <v>27.027181204175577</v>
      </c>
      <c r="J536">
        <f t="shared" si="44"/>
        <v>0.68521330831572413</v>
      </c>
      <c r="K536">
        <f t="shared" si="45"/>
        <v>23.185430109151639</v>
      </c>
      <c r="L536" s="33">
        <f t="shared" si="46"/>
        <v>51.159968279534951</v>
      </c>
    </row>
    <row r="537" spans="3:12" x14ac:dyDescent="0.3">
      <c r="C537">
        <v>77.668273863382638</v>
      </c>
      <c r="D537">
        <v>71.572966539242771</v>
      </c>
      <c r="E537">
        <v>90.361162619810784</v>
      </c>
      <c r="F537">
        <v>128.8984063747921</v>
      </c>
      <c r="H537" s="33">
        <f t="shared" si="42"/>
        <v>4.663452273234725</v>
      </c>
      <c r="I537">
        <f t="shared" si="43"/>
        <v>31.45933078485541</v>
      </c>
      <c r="J537">
        <f t="shared" si="44"/>
        <v>7.2232523962156847</v>
      </c>
      <c r="K537">
        <f t="shared" si="45"/>
        <v>2.2031872504157946</v>
      </c>
      <c r="L537" s="33">
        <f t="shared" si="46"/>
        <v>45.549222704721615</v>
      </c>
    </row>
    <row r="538" spans="3:12" x14ac:dyDescent="0.3">
      <c r="C538">
        <v>81.181579136755317</v>
      </c>
      <c r="D538">
        <v>69.030846993264277</v>
      </c>
      <c r="E538">
        <v>90.65481117417221</v>
      </c>
      <c r="F538">
        <v>130.19901676751033</v>
      </c>
      <c r="H538" s="33">
        <f t="shared" si="42"/>
        <v>23.631582735106349</v>
      </c>
      <c r="I538">
        <f t="shared" si="43"/>
        <v>1.9383060134714469</v>
      </c>
      <c r="J538">
        <f t="shared" si="44"/>
        <v>13.096223483444192</v>
      </c>
      <c r="K538">
        <f t="shared" si="45"/>
        <v>3.9803353502065875</v>
      </c>
      <c r="L538" s="33">
        <f t="shared" si="46"/>
        <v>42.646447582228575</v>
      </c>
    </row>
    <row r="539" spans="3:12" x14ac:dyDescent="0.3">
      <c r="C539">
        <v>80.025285089577665</v>
      </c>
      <c r="D539">
        <v>70.675906903779833</v>
      </c>
      <c r="E539">
        <v>91.399826032866258</v>
      </c>
      <c r="F539">
        <v>130.71359409048455</v>
      </c>
      <c r="H539" s="33">
        <f t="shared" si="42"/>
        <v>0.50570179155329242</v>
      </c>
      <c r="I539">
        <f t="shared" si="43"/>
        <v>13.518138075596653</v>
      </c>
      <c r="J539">
        <f t="shared" si="44"/>
        <v>27.996520657325163</v>
      </c>
      <c r="K539">
        <f t="shared" si="45"/>
        <v>14.271881809690967</v>
      </c>
      <c r="L539" s="33">
        <f t="shared" si="46"/>
        <v>56.292242334166076</v>
      </c>
    </row>
    <row r="540" spans="3:12" x14ac:dyDescent="0.3">
      <c r="C540">
        <v>80.379595803678967</v>
      </c>
      <c r="D540">
        <v>68.826226601522649</v>
      </c>
      <c r="E540">
        <v>90.360018930223305</v>
      </c>
      <c r="F540">
        <v>130.40164081838157</v>
      </c>
      <c r="H540" s="33">
        <f t="shared" si="42"/>
        <v>7.5919160735793412</v>
      </c>
      <c r="I540">
        <f t="shared" si="43"/>
        <v>2.3475467969547026</v>
      </c>
      <c r="J540">
        <f t="shared" si="44"/>
        <v>7.2003786044660956</v>
      </c>
      <c r="K540">
        <f t="shared" si="45"/>
        <v>8.0328163676313125</v>
      </c>
      <c r="L540" s="33">
        <f t="shared" si="46"/>
        <v>25.172657842631452</v>
      </c>
    </row>
    <row r="541" spans="3:12" x14ac:dyDescent="0.3">
      <c r="C541">
        <v>79.75116907080519</v>
      </c>
      <c r="D541">
        <v>69.91793970366416</v>
      </c>
      <c r="E541">
        <v>88.904838776070392</v>
      </c>
      <c r="F541">
        <v>129.10525275481632</v>
      </c>
      <c r="H541" s="33">
        <f t="shared" si="42"/>
        <v>0.49766185838961974</v>
      </c>
      <c r="I541">
        <f t="shared" si="43"/>
        <v>0.16412059267167933</v>
      </c>
      <c r="J541">
        <f t="shared" si="44"/>
        <v>2.1903224478592165</v>
      </c>
      <c r="K541">
        <f t="shared" si="45"/>
        <v>1.7894944903673604</v>
      </c>
      <c r="L541" s="33">
        <f t="shared" si="46"/>
        <v>4.641599389287876</v>
      </c>
    </row>
    <row r="542" spans="3:12" x14ac:dyDescent="0.3">
      <c r="C542">
        <v>79.796143583807861</v>
      </c>
      <c r="D542">
        <v>68.631278685934376</v>
      </c>
      <c r="E542">
        <v>91.70530256582424</v>
      </c>
      <c r="F542">
        <v>130.98443933893577</v>
      </c>
      <c r="H542" s="33">
        <f t="shared" si="42"/>
        <v>0.40771283238427714</v>
      </c>
      <c r="I542">
        <f t="shared" si="43"/>
        <v>2.7374426281312481</v>
      </c>
      <c r="J542">
        <f t="shared" si="44"/>
        <v>34.106051316484809</v>
      </c>
      <c r="K542">
        <f t="shared" si="45"/>
        <v>19.688786778715439</v>
      </c>
      <c r="L542" s="33">
        <f t="shared" si="46"/>
        <v>56.939993555715773</v>
      </c>
    </row>
    <row r="543" spans="3:12" x14ac:dyDescent="0.3">
      <c r="C543">
        <v>80.488405476062326</v>
      </c>
      <c r="D543">
        <v>70.429160991188837</v>
      </c>
      <c r="E543">
        <v>89.191982169577386</v>
      </c>
      <c r="F543">
        <v>128.27538886165712</v>
      </c>
      <c r="H543" s="33">
        <f t="shared" si="42"/>
        <v>9.7681095212465152</v>
      </c>
      <c r="I543">
        <f t="shared" si="43"/>
        <v>8.5832198237767443</v>
      </c>
      <c r="J543">
        <f t="shared" si="44"/>
        <v>1.6160356608452275</v>
      </c>
      <c r="K543">
        <f t="shared" si="45"/>
        <v>3.4492222766857594</v>
      </c>
      <c r="L543" s="33">
        <f t="shared" si="46"/>
        <v>23.416587282554246</v>
      </c>
    </row>
    <row r="544" spans="3:12" x14ac:dyDescent="0.3">
      <c r="C544">
        <v>81.62515789270401</v>
      </c>
      <c r="D544">
        <v>71.164983132184716</v>
      </c>
      <c r="E544">
        <v>91.354801497654989</v>
      </c>
      <c r="F544">
        <v>130.83514123616624</v>
      </c>
      <c r="H544" s="33">
        <f t="shared" si="42"/>
        <v>32.5031578540802</v>
      </c>
      <c r="I544">
        <f t="shared" si="43"/>
        <v>23.299662643694319</v>
      </c>
      <c r="J544">
        <f t="shared" si="44"/>
        <v>27.096029953099787</v>
      </c>
      <c r="K544">
        <f t="shared" si="45"/>
        <v>16.702824723324738</v>
      </c>
      <c r="L544" s="33">
        <f t="shared" si="46"/>
        <v>99.601675174199045</v>
      </c>
    </row>
    <row r="545" spans="3:12" x14ac:dyDescent="0.3">
      <c r="C545">
        <v>79.722579104854958</v>
      </c>
      <c r="D545">
        <v>68.740618138981517</v>
      </c>
      <c r="E545">
        <v>88.834564394201152</v>
      </c>
      <c r="F545">
        <v>129.64381458994467</v>
      </c>
      <c r="H545" s="33">
        <f t="shared" si="42"/>
        <v>0.55484179029008374</v>
      </c>
      <c r="I545">
        <f t="shared" si="43"/>
        <v>2.5187637220369652</v>
      </c>
      <c r="J545">
        <f t="shared" si="44"/>
        <v>2.3308712115976959</v>
      </c>
      <c r="K545">
        <f t="shared" si="45"/>
        <v>0.71237082011066377</v>
      </c>
      <c r="L545" s="33">
        <f t="shared" si="46"/>
        <v>6.1168475440354086</v>
      </c>
    </row>
    <row r="546" spans="3:12" x14ac:dyDescent="0.3">
      <c r="C546">
        <v>80.333534444507677</v>
      </c>
      <c r="D546">
        <v>69.063606992422137</v>
      </c>
      <c r="E546">
        <v>91.367161530652083</v>
      </c>
      <c r="F546">
        <v>131.07722371467389</v>
      </c>
      <c r="H546" s="33">
        <f t="shared" si="42"/>
        <v>6.6706888901535422</v>
      </c>
      <c r="I546">
        <f t="shared" si="43"/>
        <v>1.8727860151557252</v>
      </c>
      <c r="J546">
        <f t="shared" si="44"/>
        <v>27.343230613041669</v>
      </c>
      <c r="K546">
        <f t="shared" si="45"/>
        <v>21.544474293477833</v>
      </c>
      <c r="L546" s="33">
        <f t="shared" si="46"/>
        <v>57.43117981182877</v>
      </c>
    </row>
    <row r="547" spans="3:12" x14ac:dyDescent="0.3">
      <c r="C547">
        <v>82.072602001135238</v>
      </c>
      <c r="D547">
        <v>69.216861397144385</v>
      </c>
      <c r="E547">
        <v>90.385027760785306</v>
      </c>
      <c r="F547">
        <v>129.39555664241198</v>
      </c>
      <c r="H547" s="33">
        <f t="shared" si="42"/>
        <v>41.45204002270475</v>
      </c>
      <c r="I547">
        <f t="shared" si="43"/>
        <v>1.5662772057112306</v>
      </c>
      <c r="J547">
        <f t="shared" si="44"/>
        <v>7.7005552157061175</v>
      </c>
      <c r="K547">
        <f t="shared" si="45"/>
        <v>1.2088867151760496</v>
      </c>
      <c r="L547" s="33">
        <f t="shared" si="46"/>
        <v>51.927759159298148</v>
      </c>
    </row>
    <row r="548" spans="3:12" x14ac:dyDescent="0.3">
      <c r="C548">
        <v>81.257358235307038</v>
      </c>
      <c r="D548">
        <v>69.558981471636798</v>
      </c>
      <c r="E548">
        <v>89.939950612315442</v>
      </c>
      <c r="F548">
        <v>129.74935349200678</v>
      </c>
      <c r="H548" s="33">
        <f t="shared" si="42"/>
        <v>25.147164706140757</v>
      </c>
      <c r="I548">
        <f t="shared" si="43"/>
        <v>0.88203705672640353</v>
      </c>
      <c r="J548">
        <f t="shared" si="44"/>
        <v>0.12009877536911517</v>
      </c>
      <c r="K548">
        <f t="shared" si="45"/>
        <v>0.50129301598644815</v>
      </c>
      <c r="L548" s="33">
        <f t="shared" si="46"/>
        <v>26.650593554222723</v>
      </c>
    </row>
    <row r="549" spans="3:12" x14ac:dyDescent="0.3">
      <c r="C549">
        <v>79.257086074067047</v>
      </c>
      <c r="D549">
        <v>70.732670741854236</v>
      </c>
      <c r="E549">
        <v>89.434949131682515</v>
      </c>
      <c r="F549">
        <v>128.84788849158213</v>
      </c>
      <c r="H549" s="33">
        <f t="shared" si="42"/>
        <v>1.4858278518659063</v>
      </c>
      <c r="I549">
        <f t="shared" si="43"/>
        <v>14.653414837084711</v>
      </c>
      <c r="J549">
        <f t="shared" si="44"/>
        <v>1.1301017366349697</v>
      </c>
      <c r="K549">
        <f t="shared" si="45"/>
        <v>2.3042230168357491</v>
      </c>
      <c r="L549" s="33">
        <f t="shared" si="46"/>
        <v>19.573567442421336</v>
      </c>
    </row>
    <row r="550" spans="3:12" x14ac:dyDescent="0.3">
      <c r="C550">
        <v>80.188492776942439</v>
      </c>
      <c r="D550">
        <v>68.895734734105645</v>
      </c>
      <c r="E550">
        <v>89.548927007708699</v>
      </c>
      <c r="F550">
        <v>129.96384644873615</v>
      </c>
      <c r="H550" s="33">
        <f t="shared" si="42"/>
        <v>3.7698555388487875</v>
      </c>
      <c r="I550">
        <f t="shared" si="43"/>
        <v>2.2085305317887105</v>
      </c>
      <c r="J550">
        <f t="shared" si="44"/>
        <v>0.90214598458260298</v>
      </c>
      <c r="K550">
        <f t="shared" si="45"/>
        <v>7.2307102527702227E-2</v>
      </c>
      <c r="L550" s="33">
        <f t="shared" si="46"/>
        <v>6.9528391577478033</v>
      </c>
    </row>
    <row r="551" spans="3:12" x14ac:dyDescent="0.3">
      <c r="C551">
        <v>79.380891040345887</v>
      </c>
      <c r="D551">
        <v>69.871088220970705</v>
      </c>
      <c r="E551">
        <v>89.446845322381705</v>
      </c>
      <c r="F551">
        <v>130.63325614974019</v>
      </c>
      <c r="H551" s="33">
        <f t="shared" si="42"/>
        <v>1.2382179193082266</v>
      </c>
      <c r="I551">
        <f t="shared" si="43"/>
        <v>0.2578235580585897</v>
      </c>
      <c r="J551">
        <f t="shared" si="44"/>
        <v>1.1063093552365899</v>
      </c>
      <c r="K551">
        <f t="shared" si="45"/>
        <v>12.665122994803824</v>
      </c>
      <c r="L551" s="33">
        <f t="shared" si="46"/>
        <v>15.26747382740723</v>
      </c>
    </row>
    <row r="552" spans="3:12" x14ac:dyDescent="0.3">
      <c r="C552">
        <v>79.135216057766229</v>
      </c>
      <c r="D552">
        <v>69.704566562286345</v>
      </c>
      <c r="E552">
        <v>89.025940269348212</v>
      </c>
      <c r="F552">
        <v>130.50728203859762</v>
      </c>
      <c r="H552" s="33">
        <f t="shared" si="42"/>
        <v>1.7295678844675422</v>
      </c>
      <c r="I552">
        <f t="shared" si="43"/>
        <v>0.59086687542730942</v>
      </c>
      <c r="J552">
        <f t="shared" si="44"/>
        <v>1.9481194613035768</v>
      </c>
      <c r="K552">
        <f t="shared" si="45"/>
        <v>10.145640771952458</v>
      </c>
      <c r="L552" s="33">
        <f t="shared" si="46"/>
        <v>14.414194993150886</v>
      </c>
    </row>
    <row r="553" spans="3:12" x14ac:dyDescent="0.3">
      <c r="C553">
        <v>79.489845095013152</v>
      </c>
      <c r="D553">
        <v>68.66839061724022</v>
      </c>
      <c r="E553">
        <v>90.471322891826276</v>
      </c>
      <c r="F553">
        <v>128.38083112990716</v>
      </c>
      <c r="H553" s="33">
        <f t="shared" si="42"/>
        <v>1.0203098099736962</v>
      </c>
      <c r="I553">
        <f t="shared" si="43"/>
        <v>2.6632187655195594</v>
      </c>
      <c r="J553">
        <f t="shared" si="44"/>
        <v>9.4264578365255147</v>
      </c>
      <c r="K553">
        <f t="shared" si="45"/>
        <v>3.2383377401856706</v>
      </c>
      <c r="L553" s="33">
        <f t="shared" si="46"/>
        <v>16.348324152204441</v>
      </c>
    </row>
    <row r="554" spans="3:12" x14ac:dyDescent="0.3">
      <c r="C554">
        <v>78.686007529613562</v>
      </c>
      <c r="D554">
        <v>69.993229948813678</v>
      </c>
      <c r="E554">
        <v>91.179275841423078</v>
      </c>
      <c r="F554">
        <v>130.51373035603319</v>
      </c>
      <c r="H554" s="33">
        <f t="shared" si="42"/>
        <v>2.6279849407728761</v>
      </c>
      <c r="I554">
        <f t="shared" si="43"/>
        <v>1.3540102372644469E-2</v>
      </c>
      <c r="J554">
        <f t="shared" si="44"/>
        <v>23.58551682846155</v>
      </c>
      <c r="K554">
        <f t="shared" si="45"/>
        <v>10.274607120663859</v>
      </c>
      <c r="L554" s="33">
        <f t="shared" si="46"/>
        <v>36.50164899227093</v>
      </c>
    </row>
    <row r="555" spans="3:12" x14ac:dyDescent="0.3">
      <c r="C555">
        <v>79.973642843542621</v>
      </c>
      <c r="D555">
        <v>72.321412466699257</v>
      </c>
      <c r="E555">
        <v>88.003686414449476</v>
      </c>
      <c r="F555">
        <v>131.13417399916216</v>
      </c>
      <c r="H555" s="33">
        <f t="shared" si="42"/>
        <v>5.2714312914758921E-2</v>
      </c>
      <c r="I555">
        <f t="shared" si="43"/>
        <v>46.42824933398515</v>
      </c>
      <c r="J555">
        <f t="shared" si="44"/>
        <v>3.9926271711010486</v>
      </c>
      <c r="K555">
        <f t="shared" si="45"/>
        <v>22.68347998324316</v>
      </c>
      <c r="L555" s="33">
        <f t="shared" si="46"/>
        <v>73.157070801244117</v>
      </c>
    </row>
    <row r="556" spans="3:12" x14ac:dyDescent="0.3">
      <c r="C556">
        <v>78.779555880901171</v>
      </c>
      <c r="D556">
        <v>72.477099769748747</v>
      </c>
      <c r="E556">
        <v>91.382713890052401</v>
      </c>
      <c r="F556">
        <v>130.61957280195202</v>
      </c>
      <c r="H556" s="33">
        <f t="shared" si="42"/>
        <v>2.4408882381976582</v>
      </c>
      <c r="I556">
        <f t="shared" si="43"/>
        <v>49.541995394974947</v>
      </c>
      <c r="J556">
        <f t="shared" si="44"/>
        <v>27.654277801048011</v>
      </c>
      <c r="K556">
        <f t="shared" si="45"/>
        <v>12.391456039040349</v>
      </c>
      <c r="L556" s="33">
        <f t="shared" si="46"/>
        <v>92.028617473260965</v>
      </c>
    </row>
    <row r="557" spans="3:12" x14ac:dyDescent="0.3">
      <c r="C557">
        <v>78.176172084640712</v>
      </c>
      <c r="D557">
        <v>69.182509782258421</v>
      </c>
      <c r="E557">
        <v>88.954881448298693</v>
      </c>
      <c r="F557">
        <v>129.68581391840416</v>
      </c>
      <c r="H557" s="33">
        <f t="shared" si="42"/>
        <v>3.6476558307185769</v>
      </c>
      <c r="I557">
        <f t="shared" si="43"/>
        <v>1.6349804354831576</v>
      </c>
      <c r="J557">
        <f t="shared" si="44"/>
        <v>2.0902371034026146</v>
      </c>
      <c r="K557">
        <f t="shared" si="45"/>
        <v>0.62837216319167055</v>
      </c>
      <c r="L557" s="33">
        <f t="shared" si="46"/>
        <v>8.0012455327960197</v>
      </c>
    </row>
    <row r="558" spans="3:12" x14ac:dyDescent="0.3">
      <c r="C558">
        <v>80.758529949962394</v>
      </c>
      <c r="D558">
        <v>69.725757788837655</v>
      </c>
      <c r="E558">
        <v>90.251199026024551</v>
      </c>
      <c r="F558">
        <v>128.75052935749409</v>
      </c>
      <c r="H558" s="33">
        <f t="shared" si="42"/>
        <v>15.170598999247886</v>
      </c>
      <c r="I558">
        <f t="shared" si="43"/>
        <v>0.54848442232469097</v>
      </c>
      <c r="J558">
        <f t="shared" si="44"/>
        <v>5.0239805204910226</v>
      </c>
      <c r="K558">
        <f t="shared" si="45"/>
        <v>2.4989412850118242</v>
      </c>
      <c r="L558" s="33">
        <f t="shared" si="46"/>
        <v>23.242005227075424</v>
      </c>
    </row>
    <row r="559" spans="3:12" x14ac:dyDescent="0.3">
      <c r="C559">
        <v>81.252649326488608</v>
      </c>
      <c r="D559">
        <v>69.66088012115506</v>
      </c>
      <c r="E559">
        <v>90.4200364855933</v>
      </c>
      <c r="F559">
        <v>129.76550384417351</v>
      </c>
      <c r="H559" s="33">
        <f t="shared" si="42"/>
        <v>25.05298652977217</v>
      </c>
      <c r="I559">
        <f t="shared" si="43"/>
        <v>0.67823975768988021</v>
      </c>
      <c r="J559">
        <f t="shared" si="44"/>
        <v>8.4007297118660063</v>
      </c>
      <c r="K559">
        <f t="shared" si="45"/>
        <v>0.46899231165298261</v>
      </c>
      <c r="L559" s="33">
        <f t="shared" si="46"/>
        <v>34.600948310981039</v>
      </c>
    </row>
    <row r="560" spans="3:12" x14ac:dyDescent="0.3">
      <c r="C560">
        <v>79.68283873386099</v>
      </c>
      <c r="D560">
        <v>69.55256498651579</v>
      </c>
      <c r="E560">
        <v>89.012202351877932</v>
      </c>
      <c r="F560">
        <v>128.76312131164013</v>
      </c>
      <c r="H560" s="33">
        <f t="shared" si="42"/>
        <v>0.63432253227801993</v>
      </c>
      <c r="I560">
        <f t="shared" si="43"/>
        <v>0.89487002696841955</v>
      </c>
      <c r="J560">
        <f t="shared" si="44"/>
        <v>1.975595296244137</v>
      </c>
      <c r="K560">
        <f t="shared" si="45"/>
        <v>2.4737573767197318</v>
      </c>
      <c r="L560" s="33">
        <f t="shared" si="46"/>
        <v>5.9785452322103083</v>
      </c>
    </row>
    <row r="561" spans="3:12" x14ac:dyDescent="0.3">
      <c r="C561">
        <v>79.502006176044233</v>
      </c>
      <c r="D561">
        <v>71.059222540789051</v>
      </c>
      <c r="E561">
        <v>89.397300598502625</v>
      </c>
      <c r="F561">
        <v>129.93527580954833</v>
      </c>
      <c r="H561" s="33">
        <f t="shared" si="42"/>
        <v>0.99598764791153371</v>
      </c>
      <c r="I561">
        <f t="shared" si="43"/>
        <v>21.18445081578102</v>
      </c>
      <c r="J561">
        <f t="shared" si="44"/>
        <v>1.2053988029947504</v>
      </c>
      <c r="K561">
        <f t="shared" si="45"/>
        <v>0.12944838090334088</v>
      </c>
      <c r="L561" s="33">
        <f t="shared" si="46"/>
        <v>23.515285647590645</v>
      </c>
    </row>
    <row r="562" spans="3:12" x14ac:dyDescent="0.3">
      <c r="C562">
        <v>79.213948740361957</v>
      </c>
      <c r="D562">
        <v>69.613571617373964</v>
      </c>
      <c r="E562">
        <v>90.205496917260461</v>
      </c>
      <c r="F562">
        <v>130.29663283385162</v>
      </c>
      <c r="H562" s="33">
        <f t="shared" si="42"/>
        <v>1.5721025192760862</v>
      </c>
      <c r="I562">
        <f t="shared" si="43"/>
        <v>0.77285676525207236</v>
      </c>
      <c r="J562">
        <f t="shared" si="44"/>
        <v>4.1099383452092297</v>
      </c>
      <c r="K562">
        <f t="shared" si="45"/>
        <v>5.9326566770323552</v>
      </c>
      <c r="L562" s="33">
        <f t="shared" si="46"/>
        <v>12.387554306769744</v>
      </c>
    </row>
    <row r="563" spans="3:12" x14ac:dyDescent="0.3">
      <c r="C563">
        <v>79.658691649528919</v>
      </c>
      <c r="D563">
        <v>69.245339949993649</v>
      </c>
      <c r="E563">
        <v>90.926124812394846</v>
      </c>
      <c r="F563">
        <v>128.10511326359119</v>
      </c>
      <c r="H563" s="33">
        <f t="shared" si="42"/>
        <v>0.68261670094216242</v>
      </c>
      <c r="I563">
        <f t="shared" si="43"/>
        <v>1.509320100012701</v>
      </c>
      <c r="J563">
        <f t="shared" si="44"/>
        <v>18.522496247896925</v>
      </c>
      <c r="K563">
        <f t="shared" si="45"/>
        <v>3.7897734728176147</v>
      </c>
      <c r="L563" s="33">
        <f t="shared" si="46"/>
        <v>24.504206521669403</v>
      </c>
    </row>
    <row r="564" spans="3:12" x14ac:dyDescent="0.3">
      <c r="C564">
        <v>80.924246705835685</v>
      </c>
      <c r="D564">
        <v>69.301717252819799</v>
      </c>
      <c r="E564">
        <v>90.901618477655575</v>
      </c>
      <c r="F564">
        <v>128.6374996296945</v>
      </c>
      <c r="H564" s="33">
        <f t="shared" si="42"/>
        <v>18.484934116713703</v>
      </c>
      <c r="I564">
        <f t="shared" si="43"/>
        <v>1.3965654943604022</v>
      </c>
      <c r="J564">
        <f t="shared" si="44"/>
        <v>18.032369553111494</v>
      </c>
      <c r="K564">
        <f t="shared" si="45"/>
        <v>2.7250007406109944</v>
      </c>
      <c r="L564" s="33">
        <f t="shared" si="46"/>
        <v>40.638869904796593</v>
      </c>
    </row>
    <row r="565" spans="3:12" x14ac:dyDescent="0.3">
      <c r="C565">
        <v>80.454633664048743</v>
      </c>
      <c r="D565">
        <v>70.246859599428717</v>
      </c>
      <c r="E565">
        <v>90.098727923614206</v>
      </c>
      <c r="F565">
        <v>128.64615801925538</v>
      </c>
      <c r="H565" s="33">
        <f t="shared" si="42"/>
        <v>9.0926732809748501</v>
      </c>
      <c r="I565">
        <f t="shared" si="43"/>
        <v>4.9371919885743409</v>
      </c>
      <c r="J565">
        <f t="shared" si="44"/>
        <v>1.9745584722841159</v>
      </c>
      <c r="K565">
        <f t="shared" si="45"/>
        <v>2.7076839614892378</v>
      </c>
      <c r="L565" s="33">
        <f t="shared" si="46"/>
        <v>18.712107703322545</v>
      </c>
    </row>
    <row r="566" spans="3:12" x14ac:dyDescent="0.3">
      <c r="C566">
        <v>78.854104887868743</v>
      </c>
      <c r="D566">
        <v>70.820272134660627</v>
      </c>
      <c r="E566">
        <v>89.11728764345753</v>
      </c>
      <c r="F566">
        <v>131.21658558782656</v>
      </c>
      <c r="H566" s="33">
        <f t="shared" si="42"/>
        <v>2.2917902242625132</v>
      </c>
      <c r="I566">
        <f t="shared" si="43"/>
        <v>16.405442693212535</v>
      </c>
      <c r="J566">
        <f t="shared" si="44"/>
        <v>1.7654247130849399</v>
      </c>
      <c r="K566">
        <f t="shared" si="45"/>
        <v>24.331711756531149</v>
      </c>
      <c r="L566" s="33">
        <f t="shared" si="46"/>
        <v>44.794369387091137</v>
      </c>
    </row>
    <row r="567" spans="3:12" x14ac:dyDescent="0.3">
      <c r="C567">
        <v>79.26492591839633</v>
      </c>
      <c r="D567">
        <v>69.936195536065497</v>
      </c>
      <c r="E567">
        <v>89.995371808836353</v>
      </c>
      <c r="F567">
        <v>130.24678001864231</v>
      </c>
      <c r="H567" s="33">
        <f t="shared" si="42"/>
        <v>1.470148163207341</v>
      </c>
      <c r="I567">
        <f t="shared" si="43"/>
        <v>0.12760892786900513</v>
      </c>
      <c r="J567">
        <f t="shared" si="44"/>
        <v>9.2563823272939771E-3</v>
      </c>
      <c r="K567">
        <f t="shared" si="45"/>
        <v>4.9356003728462383</v>
      </c>
      <c r="L567" s="33">
        <f t="shared" si="46"/>
        <v>6.5426138462498784</v>
      </c>
    </row>
    <row r="568" spans="3:12" x14ac:dyDescent="0.3">
      <c r="C568">
        <v>80.218876721191918</v>
      </c>
      <c r="D568">
        <v>71.751277522998862</v>
      </c>
      <c r="E568">
        <v>89.004699020588305</v>
      </c>
      <c r="F568">
        <v>128.52881046535913</v>
      </c>
      <c r="H568" s="33">
        <f t="shared" si="42"/>
        <v>4.3775344238383695</v>
      </c>
      <c r="I568">
        <f t="shared" si="43"/>
        <v>35.025550459977239</v>
      </c>
      <c r="J568">
        <f t="shared" si="44"/>
        <v>1.9906019588233903</v>
      </c>
      <c r="K568">
        <f t="shared" si="45"/>
        <v>2.942379069281742</v>
      </c>
      <c r="L568" s="33">
        <f t="shared" si="46"/>
        <v>44.336065911920741</v>
      </c>
    </row>
    <row r="569" spans="3:12" x14ac:dyDescent="0.3">
      <c r="C569">
        <v>81.171795247500995</v>
      </c>
      <c r="D569">
        <v>69.771554257677053</v>
      </c>
      <c r="E569">
        <v>90.902191459317692</v>
      </c>
      <c r="F569">
        <v>130.13593535186374</v>
      </c>
      <c r="H569" s="33">
        <f t="shared" si="42"/>
        <v>23.435904950019903</v>
      </c>
      <c r="I569">
        <f t="shared" si="43"/>
        <v>0.4568914846458938</v>
      </c>
      <c r="J569">
        <f t="shared" si="44"/>
        <v>18.043829186353832</v>
      </c>
      <c r="K569">
        <f t="shared" si="45"/>
        <v>2.7187070372747257</v>
      </c>
      <c r="L569" s="33">
        <f t="shared" si="46"/>
        <v>44.655332658294355</v>
      </c>
    </row>
    <row r="570" spans="3:12" x14ac:dyDescent="0.3">
      <c r="C570">
        <v>79.493153381990851</v>
      </c>
      <c r="D570">
        <v>69.692557821617811</v>
      </c>
      <c r="E570">
        <v>89.109923010109924</v>
      </c>
      <c r="F570">
        <v>130.75628804552252</v>
      </c>
      <c r="H570" s="33">
        <f t="shared" si="42"/>
        <v>1.0136932360182982</v>
      </c>
      <c r="I570">
        <f t="shared" si="43"/>
        <v>0.61488435676437803</v>
      </c>
      <c r="J570">
        <f t="shared" si="44"/>
        <v>1.7801539797801524</v>
      </c>
      <c r="K570">
        <f t="shared" si="45"/>
        <v>15.125760910450481</v>
      </c>
      <c r="L570" s="33">
        <f t="shared" si="46"/>
        <v>18.53449248301331</v>
      </c>
    </row>
    <row r="571" spans="3:12" x14ac:dyDescent="0.3">
      <c r="C571">
        <v>79.909340431258897</v>
      </c>
      <c r="D571">
        <v>71.312000676989555</v>
      </c>
      <c r="E571">
        <v>90.705034608472488</v>
      </c>
      <c r="F571">
        <v>129.889964783506</v>
      </c>
      <c r="H571" s="33">
        <f t="shared" si="42"/>
        <v>0.18131913748220541</v>
      </c>
      <c r="I571">
        <f t="shared" si="43"/>
        <v>26.240013539791107</v>
      </c>
      <c r="J571">
        <f t="shared" si="44"/>
        <v>14.100692169449758</v>
      </c>
      <c r="K571">
        <f t="shared" si="45"/>
        <v>0.22007043298799545</v>
      </c>
      <c r="L571" s="33">
        <f t="shared" si="46"/>
        <v>40.742095279711066</v>
      </c>
    </row>
    <row r="572" spans="3:12" x14ac:dyDescent="0.3">
      <c r="C572">
        <v>78.811317709623836</v>
      </c>
      <c r="D572">
        <v>69.622048107994488</v>
      </c>
      <c r="E572">
        <v>89.685653619962977</v>
      </c>
      <c r="F572">
        <v>130.85349711298477</v>
      </c>
      <c r="H572" s="33">
        <f t="shared" si="42"/>
        <v>2.377364580752328</v>
      </c>
      <c r="I572">
        <f t="shared" si="43"/>
        <v>0.75590378401102498</v>
      </c>
      <c r="J572">
        <f t="shared" si="44"/>
        <v>0.62869276007404551</v>
      </c>
      <c r="K572">
        <f t="shared" si="45"/>
        <v>17.069942259695381</v>
      </c>
      <c r="L572" s="33">
        <f t="shared" si="46"/>
        <v>20.831903384532779</v>
      </c>
    </row>
    <row r="573" spans="3:12" x14ac:dyDescent="0.3">
      <c r="C573">
        <v>81.68852238857653</v>
      </c>
      <c r="D573">
        <v>69.862058075450477</v>
      </c>
      <c r="E573">
        <v>91.079686171578942</v>
      </c>
      <c r="F573">
        <v>130.92377831606427</v>
      </c>
      <c r="H573" s="33">
        <f t="shared" si="42"/>
        <v>33.770447771530598</v>
      </c>
      <c r="I573">
        <f t="shared" si="43"/>
        <v>0.27588384909904562</v>
      </c>
      <c r="J573">
        <f t="shared" si="44"/>
        <v>21.593723431578837</v>
      </c>
      <c r="K573">
        <f t="shared" si="45"/>
        <v>18.475566321285442</v>
      </c>
      <c r="L573" s="33">
        <f t="shared" si="46"/>
        <v>74.115621373493923</v>
      </c>
    </row>
    <row r="574" spans="3:12" x14ac:dyDescent="0.3">
      <c r="C574">
        <v>77.936483850935474</v>
      </c>
      <c r="D574">
        <v>70.952163645706605</v>
      </c>
      <c r="E574">
        <v>91.192099716718076</v>
      </c>
      <c r="F574">
        <v>129.73313720147416</v>
      </c>
      <c r="H574" s="33">
        <f t="shared" si="42"/>
        <v>4.1270322981290519</v>
      </c>
      <c r="I574">
        <f t="shared" si="43"/>
        <v>19.043272914132103</v>
      </c>
      <c r="J574">
        <f t="shared" si="44"/>
        <v>23.841994334361516</v>
      </c>
      <c r="K574">
        <f t="shared" si="45"/>
        <v>0.53372559705167077</v>
      </c>
      <c r="L574" s="33">
        <f t="shared" si="46"/>
        <v>47.546025143674342</v>
      </c>
    </row>
    <row r="575" spans="3:12" x14ac:dyDescent="0.3">
      <c r="C575">
        <v>80.496263510285644</v>
      </c>
      <c r="D575">
        <v>69.454671524290461</v>
      </c>
      <c r="E575">
        <v>89.912412249614135</v>
      </c>
      <c r="F575">
        <v>131.07517507785815</v>
      </c>
      <c r="H575" s="33">
        <f t="shared" si="42"/>
        <v>9.9252702057128772</v>
      </c>
      <c r="I575">
        <f t="shared" si="43"/>
        <v>1.0906569514190778</v>
      </c>
      <c r="J575">
        <f t="shared" si="44"/>
        <v>0.17517550077172928</v>
      </c>
      <c r="K575">
        <f t="shared" si="45"/>
        <v>21.503501557162963</v>
      </c>
      <c r="L575" s="33">
        <f t="shared" si="46"/>
        <v>32.694604215066647</v>
      </c>
    </row>
    <row r="576" spans="3:12" x14ac:dyDescent="0.3">
      <c r="C576">
        <v>80.820593868411379</v>
      </c>
      <c r="D576">
        <v>70.676484432915458</v>
      </c>
      <c r="E576">
        <v>88.332123141153716</v>
      </c>
      <c r="F576">
        <v>129.1991717251949</v>
      </c>
      <c r="H576" s="33">
        <f t="shared" si="42"/>
        <v>16.411877368227579</v>
      </c>
      <c r="I576">
        <f t="shared" si="43"/>
        <v>13.529688658309169</v>
      </c>
      <c r="J576">
        <f t="shared" si="44"/>
        <v>3.3357537176925689</v>
      </c>
      <c r="K576">
        <f t="shared" si="45"/>
        <v>1.6016565496101975</v>
      </c>
      <c r="L576" s="33">
        <f t="shared" si="46"/>
        <v>34.878976293839514</v>
      </c>
    </row>
    <row r="577" spans="3:12" x14ac:dyDescent="0.3">
      <c r="C577">
        <v>79.980224174578325</v>
      </c>
      <c r="D577">
        <v>69.305032361007761</v>
      </c>
      <c r="E577">
        <v>91.781495484465268</v>
      </c>
      <c r="F577">
        <v>130.11804331734311</v>
      </c>
      <c r="H577" s="33">
        <f t="shared" si="42"/>
        <v>3.9551650843350217E-2</v>
      </c>
      <c r="I577">
        <f t="shared" si="43"/>
        <v>1.3899352779844776</v>
      </c>
      <c r="J577">
        <f t="shared" si="44"/>
        <v>35.62990968930535</v>
      </c>
      <c r="K577">
        <f t="shared" si="45"/>
        <v>2.3608663468621671</v>
      </c>
      <c r="L577" s="33">
        <f t="shared" si="46"/>
        <v>39.420262964995345</v>
      </c>
    </row>
    <row r="578" spans="3:12" x14ac:dyDescent="0.3">
      <c r="C578">
        <v>80.833624653751031</v>
      </c>
      <c r="D578">
        <v>69.839701558812521</v>
      </c>
      <c r="E578">
        <v>90.813543010735884</v>
      </c>
      <c r="F578">
        <v>131.95382199308369</v>
      </c>
      <c r="H578" s="33">
        <f t="shared" si="42"/>
        <v>16.672493075020611</v>
      </c>
      <c r="I578">
        <f t="shared" si="43"/>
        <v>0.3205968823749572</v>
      </c>
      <c r="J578">
        <f t="shared" si="44"/>
        <v>16.270860214717686</v>
      </c>
      <c r="K578">
        <f t="shared" si="45"/>
        <v>39.076439861673862</v>
      </c>
      <c r="L578" s="33">
        <f t="shared" si="46"/>
        <v>72.340390033787116</v>
      </c>
    </row>
    <row r="579" spans="3:12" x14ac:dyDescent="0.3">
      <c r="C579">
        <v>81.246969532076037</v>
      </c>
      <c r="D579">
        <v>70.076228161560721</v>
      </c>
      <c r="E579">
        <v>89.734404809714761</v>
      </c>
      <c r="F579">
        <v>128.31812601769343</v>
      </c>
      <c r="H579" s="33">
        <f t="shared" si="42"/>
        <v>24.939390641520731</v>
      </c>
      <c r="I579">
        <f t="shared" si="43"/>
        <v>1.5245632312144153</v>
      </c>
      <c r="J579">
        <f t="shared" si="44"/>
        <v>0.53119038057047874</v>
      </c>
      <c r="K579">
        <f t="shared" si="45"/>
        <v>3.3637479646131396</v>
      </c>
      <c r="L579" s="33">
        <f t="shared" si="46"/>
        <v>30.358892217918765</v>
      </c>
    </row>
    <row r="580" spans="3:12" x14ac:dyDescent="0.3">
      <c r="C580">
        <v>79.822475729160942</v>
      </c>
      <c r="D580">
        <v>70.440090843767393</v>
      </c>
      <c r="E580">
        <v>89.664767074136762</v>
      </c>
      <c r="F580">
        <v>129.47594233162818</v>
      </c>
      <c r="H580" s="33">
        <f t="shared" si="42"/>
        <v>0.35504854167811573</v>
      </c>
      <c r="I580">
        <f t="shared" si="43"/>
        <v>8.8018168753478676</v>
      </c>
      <c r="J580">
        <f t="shared" si="44"/>
        <v>0.6704658517264761</v>
      </c>
      <c r="K580">
        <f t="shared" si="45"/>
        <v>1.0481153367436491</v>
      </c>
      <c r="L580" s="33">
        <f t="shared" si="46"/>
        <v>10.875446605496109</v>
      </c>
    </row>
    <row r="581" spans="3:12" x14ac:dyDescent="0.3">
      <c r="C581">
        <v>79.36337417238974</v>
      </c>
      <c r="D581">
        <v>69.040103375591571</v>
      </c>
      <c r="E581">
        <v>89.809715518495068</v>
      </c>
      <c r="F581">
        <v>128.17130628798623</v>
      </c>
      <c r="H581" s="33">
        <f t="shared" si="42"/>
        <v>1.2732516552205198</v>
      </c>
      <c r="I581">
        <f t="shared" si="43"/>
        <v>1.919793248816859</v>
      </c>
      <c r="J581">
        <f t="shared" si="44"/>
        <v>0.38056896300986409</v>
      </c>
      <c r="K581">
        <f t="shared" si="45"/>
        <v>3.6573874240275472</v>
      </c>
      <c r="L581" s="33">
        <f t="shared" si="46"/>
        <v>7.2310012910747901</v>
      </c>
    </row>
    <row r="582" spans="3:12" x14ac:dyDescent="0.3">
      <c r="C582">
        <v>79.192300492723007</v>
      </c>
      <c r="D582">
        <v>71.13170244731009</v>
      </c>
      <c r="E582">
        <v>91.042742496792926</v>
      </c>
      <c r="F582">
        <v>128.92958385316888</v>
      </c>
      <c r="H582" s="33">
        <f t="shared" si="42"/>
        <v>1.6153990145539865</v>
      </c>
      <c r="I582">
        <f t="shared" si="43"/>
        <v>22.634048946201801</v>
      </c>
      <c r="J582">
        <f t="shared" si="44"/>
        <v>20.85484993585851</v>
      </c>
      <c r="K582">
        <f t="shared" si="45"/>
        <v>2.1408322936622426</v>
      </c>
      <c r="L582" s="33">
        <f t="shared" si="46"/>
        <v>47.245130190276541</v>
      </c>
    </row>
    <row r="583" spans="3:12" x14ac:dyDescent="0.3">
      <c r="C583">
        <v>79.280473730323138</v>
      </c>
      <c r="D583">
        <v>70.905415618035477</v>
      </c>
      <c r="E583">
        <v>90.579286734136986</v>
      </c>
      <c r="F583">
        <v>127.46072717243806</v>
      </c>
      <c r="H583" s="33">
        <f t="shared" si="42"/>
        <v>1.4390525393537246</v>
      </c>
      <c r="I583">
        <f t="shared" si="43"/>
        <v>18.108312360709533</v>
      </c>
      <c r="J583">
        <f t="shared" si="44"/>
        <v>11.585734682739712</v>
      </c>
      <c r="K583">
        <f t="shared" si="45"/>
        <v>5.0785456551238894</v>
      </c>
      <c r="L583" s="33">
        <f t="shared" si="46"/>
        <v>36.211645237926859</v>
      </c>
    </row>
    <row r="584" spans="3:12" x14ac:dyDescent="0.3">
      <c r="C584">
        <v>79.842800662008813</v>
      </c>
      <c r="D584">
        <v>69.675751496397424</v>
      </c>
      <c r="E584">
        <v>89.692237224735436</v>
      </c>
      <c r="F584">
        <v>133.0972296372056</v>
      </c>
      <c r="H584" s="33">
        <f t="shared" si="42"/>
        <v>0.3143986759823747</v>
      </c>
      <c r="I584">
        <f t="shared" si="43"/>
        <v>0.64849700720515102</v>
      </c>
      <c r="J584">
        <f t="shared" si="44"/>
        <v>0.61552555052912794</v>
      </c>
      <c r="K584">
        <f t="shared" si="45"/>
        <v>61.944592744112015</v>
      </c>
      <c r="L584" s="33">
        <f t="shared" si="46"/>
        <v>63.523013977828668</v>
      </c>
    </row>
    <row r="585" spans="3:12" x14ac:dyDescent="0.3">
      <c r="C585">
        <v>80.964271293923957</v>
      </c>
      <c r="D585">
        <v>69.628366822435055</v>
      </c>
      <c r="E585">
        <v>92.383458195254207</v>
      </c>
      <c r="F585">
        <v>129.52824850879551</v>
      </c>
      <c r="H585" s="33">
        <f t="shared" si="42"/>
        <v>19.285425878479145</v>
      </c>
      <c r="I585">
        <f t="shared" si="43"/>
        <v>0.74326635512989014</v>
      </c>
      <c r="J585">
        <f t="shared" si="44"/>
        <v>47.669163905084133</v>
      </c>
      <c r="K585">
        <f t="shared" si="45"/>
        <v>0.94350298240897246</v>
      </c>
      <c r="L585" s="33">
        <f t="shared" si="46"/>
        <v>68.641359121102141</v>
      </c>
    </row>
    <row r="586" spans="3:12" x14ac:dyDescent="0.3">
      <c r="C586">
        <v>80.316356363327941</v>
      </c>
      <c r="D586">
        <v>69.91901404428063</v>
      </c>
      <c r="E586">
        <v>90.623284677203628</v>
      </c>
      <c r="F586">
        <v>130.87550688476767</v>
      </c>
      <c r="H586" s="33">
        <f t="shared" si="42"/>
        <v>6.3271272665588185</v>
      </c>
      <c r="I586">
        <f t="shared" si="43"/>
        <v>0.16197191143874079</v>
      </c>
      <c r="J586">
        <f t="shared" si="44"/>
        <v>12.465693544072565</v>
      </c>
      <c r="K586">
        <f t="shared" si="45"/>
        <v>17.510137695353478</v>
      </c>
      <c r="L586" s="33">
        <f t="shared" si="46"/>
        <v>36.464930417423602</v>
      </c>
    </row>
    <row r="587" spans="3:12" x14ac:dyDescent="0.3">
      <c r="C587">
        <v>81.234088813362177</v>
      </c>
      <c r="D587">
        <v>69.838385065231705</v>
      </c>
      <c r="E587">
        <v>89.137328359211097</v>
      </c>
      <c r="F587">
        <v>129.85278464009752</v>
      </c>
      <c r="H587" s="33">
        <f t="shared" si="42"/>
        <v>24.681776267243549</v>
      </c>
      <c r="I587">
        <f t="shared" si="43"/>
        <v>0.32322986953658983</v>
      </c>
      <c r="J587">
        <f t="shared" si="44"/>
        <v>1.7253432815778069</v>
      </c>
      <c r="K587">
        <f t="shared" si="45"/>
        <v>0.29443071980495006</v>
      </c>
      <c r="L587" s="33">
        <f t="shared" si="46"/>
        <v>27.024780138162896</v>
      </c>
    </row>
    <row r="588" spans="3:12" x14ac:dyDescent="0.3">
      <c r="C588">
        <v>81.626590346859302</v>
      </c>
      <c r="D588">
        <v>70.41761495594983</v>
      </c>
      <c r="E588">
        <v>92.087235770886764</v>
      </c>
      <c r="F588">
        <v>129.67792746247142</v>
      </c>
      <c r="H588" s="33">
        <f t="shared" si="42"/>
        <v>32.531806937186047</v>
      </c>
      <c r="I588">
        <f t="shared" si="43"/>
        <v>8.3522991189965978</v>
      </c>
      <c r="J588">
        <f t="shared" si="44"/>
        <v>41.744715417735279</v>
      </c>
      <c r="K588">
        <f t="shared" si="45"/>
        <v>0.64414507505716756</v>
      </c>
      <c r="L588" s="33">
        <f t="shared" si="46"/>
        <v>83.272966548975091</v>
      </c>
    </row>
    <row r="589" spans="3:12" x14ac:dyDescent="0.3">
      <c r="C589">
        <v>79.610272425343283</v>
      </c>
      <c r="D589">
        <v>71.624584911041893</v>
      </c>
      <c r="E589">
        <v>91.409262040397152</v>
      </c>
      <c r="F589">
        <v>129.02421905062511</v>
      </c>
      <c r="H589" s="33">
        <f t="shared" si="42"/>
        <v>0.77945514931343496</v>
      </c>
      <c r="I589">
        <f t="shared" si="43"/>
        <v>32.491698220837861</v>
      </c>
      <c r="J589">
        <f t="shared" si="44"/>
        <v>28.185240807943046</v>
      </c>
      <c r="K589">
        <f t="shared" si="45"/>
        <v>1.9515618987497874</v>
      </c>
      <c r="L589" s="33">
        <f t="shared" si="46"/>
        <v>63.40795607684413</v>
      </c>
    </row>
    <row r="590" spans="3:12" x14ac:dyDescent="0.3">
      <c r="C590">
        <v>79.996136921254219</v>
      </c>
      <c r="D590">
        <v>70.338228574037203</v>
      </c>
      <c r="E590">
        <v>89.386254785349593</v>
      </c>
      <c r="F590">
        <v>129.49862512949039</v>
      </c>
      <c r="H590" s="33">
        <f t="shared" si="42"/>
        <v>7.7261574915610254E-3</v>
      </c>
      <c r="I590">
        <f t="shared" si="43"/>
        <v>6.7645714807440527</v>
      </c>
      <c r="J590">
        <f t="shared" si="44"/>
        <v>1.2274904293008149</v>
      </c>
      <c r="K590">
        <f t="shared" si="45"/>
        <v>1.0027497410192154</v>
      </c>
      <c r="L590" s="33">
        <f t="shared" si="46"/>
        <v>9.002537808555644</v>
      </c>
    </row>
    <row r="591" spans="3:12" x14ac:dyDescent="0.3">
      <c r="C591">
        <v>79.50217898003757</v>
      </c>
      <c r="D591">
        <v>68.946125288057374</v>
      </c>
      <c r="E591">
        <v>87.808045009151101</v>
      </c>
      <c r="F591">
        <v>132.45316186919808</v>
      </c>
      <c r="H591" s="33">
        <f t="shared" si="42"/>
        <v>0.99564203992486</v>
      </c>
      <c r="I591">
        <f t="shared" si="43"/>
        <v>2.1077494238852523</v>
      </c>
      <c r="J591">
        <f t="shared" si="44"/>
        <v>4.3839099816977978</v>
      </c>
      <c r="K591">
        <f t="shared" si="45"/>
        <v>49.063237383961678</v>
      </c>
      <c r="L591" s="33">
        <f t="shared" si="46"/>
        <v>56.550538829469588</v>
      </c>
    </row>
    <row r="592" spans="3:12" x14ac:dyDescent="0.3">
      <c r="C592">
        <v>80.389727574656717</v>
      </c>
      <c r="D592">
        <v>70.911657025426393</v>
      </c>
      <c r="E592">
        <v>88.172124833217822</v>
      </c>
      <c r="F592">
        <v>128.73023625696078</v>
      </c>
      <c r="H592" s="33">
        <f t="shared" si="42"/>
        <v>7.7945514931343496</v>
      </c>
      <c r="I592">
        <f t="shared" si="43"/>
        <v>18.233140508527867</v>
      </c>
      <c r="J592">
        <f t="shared" si="44"/>
        <v>3.655750333564356</v>
      </c>
      <c r="K592">
        <f t="shared" si="45"/>
        <v>2.5395274860784411</v>
      </c>
      <c r="L592" s="33">
        <f t="shared" si="46"/>
        <v>32.222969821305014</v>
      </c>
    </row>
    <row r="593" spans="3:12" x14ac:dyDescent="0.3">
      <c r="C593">
        <v>78.853220404271269</v>
      </c>
      <c r="D593">
        <v>71.35307800519513</v>
      </c>
      <c r="E593">
        <v>90.956385974859586</v>
      </c>
      <c r="F593">
        <v>129.34272182144923</v>
      </c>
      <c r="H593" s="33">
        <f t="shared" si="42"/>
        <v>2.2935591914574616</v>
      </c>
      <c r="I593">
        <f t="shared" si="43"/>
        <v>27.061560103902593</v>
      </c>
      <c r="J593">
        <f t="shared" si="44"/>
        <v>19.12771949719172</v>
      </c>
      <c r="K593">
        <f t="shared" si="45"/>
        <v>1.3145563571015373</v>
      </c>
      <c r="L593" s="33">
        <f t="shared" si="46"/>
        <v>49.797395149653312</v>
      </c>
    </row>
    <row r="594" spans="3:12" x14ac:dyDescent="0.3">
      <c r="C594">
        <v>79.238100372167537</v>
      </c>
      <c r="D594">
        <v>70.092119307737448</v>
      </c>
      <c r="E594">
        <v>90.073389401222812</v>
      </c>
      <c r="F594">
        <v>131.51914264279185</v>
      </c>
      <c r="H594" s="33">
        <f t="shared" si="42"/>
        <v>1.523799255664926</v>
      </c>
      <c r="I594">
        <f t="shared" si="43"/>
        <v>1.8423861547489651</v>
      </c>
      <c r="J594">
        <f t="shared" si="44"/>
        <v>1.4677880244562402</v>
      </c>
      <c r="K594">
        <f t="shared" si="45"/>
        <v>30.382852855836973</v>
      </c>
      <c r="L594" s="33">
        <f t="shared" si="46"/>
        <v>35.216826290707104</v>
      </c>
    </row>
    <row r="595" spans="3:12" x14ac:dyDescent="0.3">
      <c r="C595">
        <v>80.853606252348982</v>
      </c>
      <c r="D595">
        <v>70.620777882431867</v>
      </c>
      <c r="E595">
        <v>90.521426954946946</v>
      </c>
      <c r="F595">
        <v>129.24044914223487</v>
      </c>
      <c r="H595" s="33">
        <f t="shared" si="42"/>
        <v>17.072125046979636</v>
      </c>
      <c r="I595">
        <f t="shared" si="43"/>
        <v>12.415557648637332</v>
      </c>
      <c r="J595">
        <f t="shared" si="44"/>
        <v>10.428539098938927</v>
      </c>
      <c r="K595">
        <f t="shared" si="45"/>
        <v>1.5191017155302688</v>
      </c>
      <c r="L595" s="33">
        <f t="shared" si="46"/>
        <v>41.435323510086164</v>
      </c>
    </row>
    <row r="596" spans="3:12" x14ac:dyDescent="0.3">
      <c r="C596">
        <v>80.392039964935975</v>
      </c>
      <c r="D596">
        <v>68.673756635980681</v>
      </c>
      <c r="E596">
        <v>89.459105310961604</v>
      </c>
      <c r="F596">
        <v>130.31997842597775</v>
      </c>
      <c r="H596" s="33">
        <f t="shared" si="42"/>
        <v>7.840799298719503</v>
      </c>
      <c r="I596">
        <f t="shared" si="43"/>
        <v>2.6524867280386388</v>
      </c>
      <c r="J596">
        <f t="shared" si="44"/>
        <v>1.0817893780767918</v>
      </c>
      <c r="K596">
        <f t="shared" si="45"/>
        <v>6.3995685195550323</v>
      </c>
      <c r="L596" s="33">
        <f t="shared" si="46"/>
        <v>17.974643924389966</v>
      </c>
    </row>
    <row r="597" spans="3:12" x14ac:dyDescent="0.3">
      <c r="C597">
        <v>79.212279817584204</v>
      </c>
      <c r="D597">
        <v>69.148262759263162</v>
      </c>
      <c r="E597">
        <v>92.306951500941068</v>
      </c>
      <c r="F597">
        <v>129.66136556395213</v>
      </c>
      <c r="H597" s="33">
        <f t="shared" si="42"/>
        <v>1.5754403648315929</v>
      </c>
      <c r="I597">
        <f t="shared" si="43"/>
        <v>1.7034744814736769</v>
      </c>
      <c r="J597">
        <f t="shared" si="44"/>
        <v>46.139030018821359</v>
      </c>
      <c r="K597">
        <f t="shared" si="45"/>
        <v>0.67726887209573761</v>
      </c>
      <c r="L597" s="33">
        <f t="shared" si="46"/>
        <v>50.095213737222366</v>
      </c>
    </row>
    <row r="598" spans="3:12" x14ac:dyDescent="0.3">
      <c r="C598">
        <v>78.394305293913931</v>
      </c>
      <c r="D598">
        <v>70.67417659010971</v>
      </c>
      <c r="E598">
        <v>90.194727363123093</v>
      </c>
      <c r="F598">
        <v>130.15921386875561</v>
      </c>
      <c r="H598" s="33">
        <f t="shared" si="42"/>
        <v>3.2113894121721387</v>
      </c>
      <c r="I598">
        <f t="shared" si="43"/>
        <v>13.483531802194193</v>
      </c>
      <c r="J598">
        <f t="shared" si="44"/>
        <v>3.894547262461856</v>
      </c>
      <c r="K598">
        <f t="shared" si="45"/>
        <v>3.1842773751122877</v>
      </c>
      <c r="L598" s="33">
        <f t="shared" si="46"/>
        <v>23.773745851940475</v>
      </c>
    </row>
    <row r="599" spans="3:12" x14ac:dyDescent="0.3">
      <c r="C599">
        <v>81.168004928331356</v>
      </c>
      <c r="D599">
        <v>70.61994342104299</v>
      </c>
      <c r="E599">
        <v>91.591965883562807</v>
      </c>
      <c r="F599">
        <v>129.80137317834306</v>
      </c>
      <c r="H599" s="33">
        <f t="shared" ref="H599:H662" si="47">IF(C599&gt;$C$19,(C599-$C$19)*$I$11,($C$19-C599)*$H$11)</f>
        <v>23.36009856662713</v>
      </c>
      <c r="I599">
        <f t="shared" ref="I599:I662" si="48">IF(D599&gt;$D$19,(D599-$D$19)*$I$11,($D$19-D599)*$H$11)</f>
        <v>12.398868420859799</v>
      </c>
      <c r="J599">
        <f t="shared" ref="J599:J662" si="49">IF(E599&gt;$E$19,(E599-$E$19)*$I$11,($E$19-E599)*$H$11)</f>
        <v>31.83931767125614</v>
      </c>
      <c r="K599">
        <f t="shared" ref="K599:K662" si="50">IF(F599&gt;$F$19,(F599-$F$19)*$I$11,($F$19-F599)*$H$11)</f>
        <v>0.39725364331388846</v>
      </c>
      <c r="L599" s="33">
        <f t="shared" ref="L599:L662" si="51">SUM(H599:K599)</f>
        <v>67.995538302056957</v>
      </c>
    </row>
    <row r="600" spans="3:12" x14ac:dyDescent="0.3">
      <c r="C600">
        <v>78.792027326999232</v>
      </c>
      <c r="D600">
        <v>70.353497853211593</v>
      </c>
      <c r="E600">
        <v>90.005699121174985</v>
      </c>
      <c r="F600">
        <v>131.1736210581148</v>
      </c>
      <c r="H600" s="33">
        <f t="shared" si="47"/>
        <v>2.4159453460015357</v>
      </c>
      <c r="I600">
        <f t="shared" si="48"/>
        <v>7.0699570642318577</v>
      </c>
      <c r="J600">
        <f t="shared" si="49"/>
        <v>0.11398242349969223</v>
      </c>
      <c r="K600">
        <f t="shared" si="50"/>
        <v>23.472421162296087</v>
      </c>
      <c r="L600" s="33">
        <f t="shared" si="51"/>
        <v>33.072305996029172</v>
      </c>
    </row>
    <row r="601" spans="3:12" x14ac:dyDescent="0.3">
      <c r="C601">
        <v>80.23811480787117</v>
      </c>
      <c r="D601">
        <v>70.092119307737448</v>
      </c>
      <c r="E601">
        <v>89.156807461986318</v>
      </c>
      <c r="F601">
        <v>130.84472048911266</v>
      </c>
      <c r="H601" s="33">
        <f t="shared" si="47"/>
        <v>4.7622961574234068</v>
      </c>
      <c r="I601">
        <f t="shared" si="48"/>
        <v>1.8423861547489651</v>
      </c>
      <c r="J601">
        <f t="shared" si="49"/>
        <v>1.6863850760273635</v>
      </c>
      <c r="K601">
        <f t="shared" si="50"/>
        <v>16.894409782253206</v>
      </c>
      <c r="L601" s="33">
        <f t="shared" si="51"/>
        <v>25.185477170452941</v>
      </c>
    </row>
    <row r="602" spans="3:12" x14ac:dyDescent="0.3">
      <c r="C602">
        <v>79.029255377536174</v>
      </c>
      <c r="D602">
        <v>71.842299752752297</v>
      </c>
      <c r="E602">
        <v>89.86553234521125</v>
      </c>
      <c r="F602">
        <v>129.9144847606658</v>
      </c>
      <c r="H602" s="33">
        <f t="shared" si="47"/>
        <v>1.9414892449276522</v>
      </c>
      <c r="I602">
        <f t="shared" si="48"/>
        <v>36.845995055045933</v>
      </c>
      <c r="J602">
        <f t="shared" si="49"/>
        <v>0.26893530957750045</v>
      </c>
      <c r="K602">
        <f t="shared" si="50"/>
        <v>0.17103047866839916</v>
      </c>
      <c r="L602" s="33">
        <f t="shared" si="51"/>
        <v>39.227450088219484</v>
      </c>
    </row>
    <row r="603" spans="3:12" x14ac:dyDescent="0.3">
      <c r="C603">
        <v>79.161709638428874</v>
      </c>
      <c r="D603">
        <v>71.147222974395845</v>
      </c>
      <c r="E603">
        <v>90.959169028647011</v>
      </c>
      <c r="F603">
        <v>130.61781292970409</v>
      </c>
      <c r="H603" s="33">
        <f t="shared" si="47"/>
        <v>1.6765807231422514</v>
      </c>
      <c r="I603">
        <f t="shared" si="48"/>
        <v>22.944459487916902</v>
      </c>
      <c r="J603">
        <f t="shared" si="49"/>
        <v>19.183380572940223</v>
      </c>
      <c r="K603">
        <f t="shared" si="50"/>
        <v>12.356258594081737</v>
      </c>
      <c r="L603" s="33">
        <f t="shared" si="51"/>
        <v>56.160679378081113</v>
      </c>
    </row>
    <row r="604" spans="3:12" x14ac:dyDescent="0.3">
      <c r="C604">
        <v>81.930129656102508</v>
      </c>
      <c r="D604">
        <v>69.542819750786293</v>
      </c>
      <c r="E604">
        <v>89.678814219805645</v>
      </c>
      <c r="F604">
        <v>127.75898686493747</v>
      </c>
      <c r="H604" s="33">
        <f t="shared" si="47"/>
        <v>38.602593122050166</v>
      </c>
      <c r="I604">
        <f t="shared" si="48"/>
        <v>0.9143604984274134</v>
      </c>
      <c r="J604">
        <f t="shared" si="49"/>
        <v>0.64237156038871035</v>
      </c>
      <c r="K604">
        <f t="shared" si="50"/>
        <v>4.4820262701250613</v>
      </c>
      <c r="L604" s="33">
        <f t="shared" si="51"/>
        <v>44.641351450991351</v>
      </c>
    </row>
    <row r="605" spans="3:12" x14ac:dyDescent="0.3">
      <c r="C605">
        <v>78.912885530444328</v>
      </c>
      <c r="D605">
        <v>70.418783656641608</v>
      </c>
      <c r="E605">
        <v>91.504272404417861</v>
      </c>
      <c r="F605">
        <v>131.05015033113887</v>
      </c>
      <c r="H605" s="33">
        <f t="shared" si="47"/>
        <v>2.1742289391113445</v>
      </c>
      <c r="I605">
        <f t="shared" si="48"/>
        <v>8.3756731328321621</v>
      </c>
      <c r="J605">
        <f t="shared" si="49"/>
        <v>30.085448088357225</v>
      </c>
      <c r="K605">
        <f t="shared" si="50"/>
        <v>21.00300662277732</v>
      </c>
      <c r="L605" s="33">
        <f t="shared" si="51"/>
        <v>61.638356783078052</v>
      </c>
    </row>
    <row r="606" spans="3:12" x14ac:dyDescent="0.3">
      <c r="C606">
        <v>79.620404196321033</v>
      </c>
      <c r="D606">
        <v>69.975173068378353</v>
      </c>
      <c r="E606">
        <v>89.625988493789919</v>
      </c>
      <c r="F606">
        <v>128.10464942129329</v>
      </c>
      <c r="H606" s="33">
        <f t="shared" si="47"/>
        <v>0.75919160735793412</v>
      </c>
      <c r="I606">
        <f t="shared" si="48"/>
        <v>4.9653863243293017E-2</v>
      </c>
      <c r="J606">
        <f t="shared" si="49"/>
        <v>0.74802301242016256</v>
      </c>
      <c r="K606">
        <f t="shared" si="50"/>
        <v>3.7907011574134231</v>
      </c>
      <c r="L606" s="33">
        <f t="shared" si="51"/>
        <v>5.3475696404348128</v>
      </c>
    </row>
    <row r="607" spans="3:12" x14ac:dyDescent="0.3">
      <c r="C607">
        <v>80.293036919174483</v>
      </c>
      <c r="D607">
        <v>69.372249703810667</v>
      </c>
      <c r="E607">
        <v>89.485221451323014</v>
      </c>
      <c r="F607">
        <v>130.42664623833844</v>
      </c>
      <c r="H607" s="33">
        <f t="shared" si="47"/>
        <v>5.8607383834896609</v>
      </c>
      <c r="I607">
        <f t="shared" si="48"/>
        <v>1.2555005923786666</v>
      </c>
      <c r="J607">
        <f t="shared" si="49"/>
        <v>1.0295570973539725</v>
      </c>
      <c r="K607">
        <f t="shared" si="50"/>
        <v>8.5329247667687014</v>
      </c>
      <c r="L607" s="33">
        <f t="shared" si="51"/>
        <v>16.678720839991001</v>
      </c>
    </row>
    <row r="608" spans="3:12" x14ac:dyDescent="0.3">
      <c r="C608">
        <v>80.039444785215892</v>
      </c>
      <c r="D608">
        <v>69.473395746463211</v>
      </c>
      <c r="E608">
        <v>90.828546262710006</v>
      </c>
      <c r="F608">
        <v>132.48710421146825</v>
      </c>
      <c r="H608" s="33">
        <f t="shared" si="47"/>
        <v>0.78889570431783795</v>
      </c>
      <c r="I608">
        <f t="shared" si="48"/>
        <v>1.0532085070735775</v>
      </c>
      <c r="J608">
        <f t="shared" si="49"/>
        <v>16.57092525420012</v>
      </c>
      <c r="K608">
        <f t="shared" si="50"/>
        <v>49.742084229364991</v>
      </c>
      <c r="L608" s="33">
        <f t="shared" si="51"/>
        <v>68.155113694956526</v>
      </c>
    </row>
    <row r="609" spans="3:12" x14ac:dyDescent="0.3">
      <c r="C609">
        <v>78.239427441149019</v>
      </c>
      <c r="D609">
        <v>69.216029209492262</v>
      </c>
      <c r="E609">
        <v>91.173621058114804</v>
      </c>
      <c r="F609">
        <v>130.28976501198485</v>
      </c>
      <c r="H609" s="33">
        <f t="shared" si="47"/>
        <v>3.5211451177019626</v>
      </c>
      <c r="I609">
        <f t="shared" si="48"/>
        <v>1.5679415810154751</v>
      </c>
      <c r="J609">
        <f t="shared" si="49"/>
        <v>23.472421162296087</v>
      </c>
      <c r="K609">
        <f t="shared" si="50"/>
        <v>5.7953002396970987</v>
      </c>
      <c r="L609" s="33">
        <f t="shared" si="51"/>
        <v>34.356808100710623</v>
      </c>
    </row>
    <row r="610" spans="3:12" x14ac:dyDescent="0.3">
      <c r="C610">
        <v>79.775164951643092</v>
      </c>
      <c r="D610">
        <v>70.28968543119845</v>
      </c>
      <c r="E610">
        <v>90.502416241943138</v>
      </c>
      <c r="F610">
        <v>129.9707347342337</v>
      </c>
      <c r="H610" s="33">
        <f t="shared" si="47"/>
        <v>0.44967009671381675</v>
      </c>
      <c r="I610">
        <f t="shared" si="48"/>
        <v>5.7937086239689961</v>
      </c>
      <c r="J610">
        <f t="shared" si="49"/>
        <v>10.048324838862754</v>
      </c>
      <c r="K610">
        <f t="shared" si="50"/>
        <v>5.8530531532596797E-2</v>
      </c>
      <c r="L610" s="33">
        <f t="shared" si="51"/>
        <v>16.350234091078164</v>
      </c>
    </row>
    <row r="611" spans="3:12" x14ac:dyDescent="0.3">
      <c r="C611">
        <v>78.818113908782834</v>
      </c>
      <c r="D611">
        <v>71.029397935781162</v>
      </c>
      <c r="E611">
        <v>89.525339262618218</v>
      </c>
      <c r="F611">
        <v>130.00401541910833</v>
      </c>
      <c r="H611" s="33">
        <f t="shared" si="47"/>
        <v>2.3637721824343316</v>
      </c>
      <c r="I611">
        <f t="shared" si="48"/>
        <v>20.587958715623245</v>
      </c>
      <c r="J611">
        <f t="shared" si="49"/>
        <v>0.94932147476356477</v>
      </c>
      <c r="K611">
        <f t="shared" si="50"/>
        <v>8.0308382166549563E-2</v>
      </c>
      <c r="L611" s="33">
        <f t="shared" si="51"/>
        <v>23.981360754987691</v>
      </c>
    </row>
    <row r="612" spans="3:12" x14ac:dyDescent="0.3">
      <c r="C612">
        <v>78.571479409292806</v>
      </c>
      <c r="D612">
        <v>70.648285549686989</v>
      </c>
      <c r="E612">
        <v>92.950400812551379</v>
      </c>
      <c r="F612">
        <v>130.05820993465022</v>
      </c>
      <c r="H612" s="33">
        <f t="shared" si="47"/>
        <v>2.8570411814143881</v>
      </c>
      <c r="I612">
        <f t="shared" si="48"/>
        <v>12.965710993739776</v>
      </c>
      <c r="J612">
        <f t="shared" si="49"/>
        <v>59.008016251027584</v>
      </c>
      <c r="K612">
        <f t="shared" si="50"/>
        <v>1.1641986930044368</v>
      </c>
      <c r="L612" s="33">
        <f t="shared" si="51"/>
        <v>75.994967119186185</v>
      </c>
    </row>
    <row r="613" spans="3:12" x14ac:dyDescent="0.3">
      <c r="C613">
        <v>80.877303136803675</v>
      </c>
      <c r="D613">
        <v>68.934590621502139</v>
      </c>
      <c r="E613">
        <v>90.12405394045345</v>
      </c>
      <c r="F613">
        <v>131.09627762867603</v>
      </c>
      <c r="H613" s="33">
        <f t="shared" si="47"/>
        <v>17.546062736073509</v>
      </c>
      <c r="I613">
        <f t="shared" si="48"/>
        <v>2.1308187569957227</v>
      </c>
      <c r="J613">
        <f t="shared" si="49"/>
        <v>2.4810788090690039</v>
      </c>
      <c r="K613">
        <f t="shared" si="50"/>
        <v>21.92555257352069</v>
      </c>
      <c r="L613" s="33">
        <f t="shared" si="51"/>
        <v>44.083512875658926</v>
      </c>
    </row>
    <row r="614" spans="3:12" x14ac:dyDescent="0.3">
      <c r="C614">
        <v>80.647623892291449</v>
      </c>
      <c r="D614">
        <v>70.205966443900252</v>
      </c>
      <c r="E614">
        <v>90.939123765419936</v>
      </c>
      <c r="F614">
        <v>129.63908294375869</v>
      </c>
      <c r="H614" s="33">
        <f t="shared" si="47"/>
        <v>12.95247784582898</v>
      </c>
      <c r="I614">
        <f t="shared" si="48"/>
        <v>4.1193288780050352</v>
      </c>
      <c r="J614">
        <f t="shared" si="49"/>
        <v>18.782475308398716</v>
      </c>
      <c r="K614">
        <f t="shared" si="50"/>
        <v>0.72183411248261109</v>
      </c>
      <c r="L614" s="33">
        <f t="shared" si="51"/>
        <v>36.576116144715343</v>
      </c>
    </row>
    <row r="615" spans="3:12" x14ac:dyDescent="0.3">
      <c r="C615">
        <v>79.140097770577995</v>
      </c>
      <c r="D615">
        <v>69.053118244773941</v>
      </c>
      <c r="E615">
        <v>90.189739921552246</v>
      </c>
      <c r="F615">
        <v>130.32416778594779</v>
      </c>
      <c r="H615" s="33">
        <f t="shared" si="47"/>
        <v>1.7198044588440098</v>
      </c>
      <c r="I615">
        <f t="shared" si="48"/>
        <v>1.8937635104521178</v>
      </c>
      <c r="J615">
        <f t="shared" si="49"/>
        <v>3.7947984310449101</v>
      </c>
      <c r="K615">
        <f t="shared" si="50"/>
        <v>6.4833557189558633</v>
      </c>
      <c r="L615" s="33">
        <f t="shared" si="51"/>
        <v>13.891722119296901</v>
      </c>
    </row>
    <row r="616" spans="3:12" x14ac:dyDescent="0.3">
      <c r="C616">
        <v>80.422126049670624</v>
      </c>
      <c r="D616">
        <v>70.46713921619812</v>
      </c>
      <c r="E616">
        <v>92.140823198715225</v>
      </c>
      <c r="F616">
        <v>128.94825577939628</v>
      </c>
      <c r="H616" s="33">
        <f t="shared" si="47"/>
        <v>8.4425209934124723</v>
      </c>
      <c r="I616">
        <f t="shared" si="48"/>
        <v>9.3427843239624053</v>
      </c>
      <c r="J616">
        <f t="shared" si="49"/>
        <v>42.816463974304497</v>
      </c>
      <c r="K616">
        <f t="shared" si="50"/>
        <v>2.1034884412074462</v>
      </c>
      <c r="L616" s="33">
        <f t="shared" si="51"/>
        <v>62.705257732886821</v>
      </c>
    </row>
    <row r="617" spans="3:12" x14ac:dyDescent="0.3">
      <c r="C617">
        <v>80.122512346933945</v>
      </c>
      <c r="D617">
        <v>70.989666659734212</v>
      </c>
      <c r="E617">
        <v>88.764599240530515</v>
      </c>
      <c r="F617">
        <v>129.63066102282028</v>
      </c>
      <c r="H617" s="33">
        <f t="shared" si="47"/>
        <v>2.4502469386789016</v>
      </c>
      <c r="I617">
        <f t="shared" si="48"/>
        <v>19.793333194684237</v>
      </c>
      <c r="J617">
        <f t="shared" si="49"/>
        <v>2.4708015189389698</v>
      </c>
      <c r="K617">
        <f t="shared" si="50"/>
        <v>0.73867795435944572</v>
      </c>
      <c r="L617" s="33">
        <f t="shared" si="51"/>
        <v>25.453059606661554</v>
      </c>
    </row>
    <row r="618" spans="3:12" x14ac:dyDescent="0.3">
      <c r="C618">
        <v>79.09792222752003</v>
      </c>
      <c r="D618">
        <v>69.3448091117898</v>
      </c>
      <c r="E618">
        <v>89.261514176396304</v>
      </c>
      <c r="F618">
        <v>130.55699274525978</v>
      </c>
      <c r="H618" s="33">
        <f t="shared" si="47"/>
        <v>1.80415554495994</v>
      </c>
      <c r="I618">
        <f t="shared" si="48"/>
        <v>1.3103817764203995</v>
      </c>
      <c r="J618">
        <f t="shared" si="49"/>
        <v>1.4769716472073924</v>
      </c>
      <c r="K618">
        <f t="shared" si="50"/>
        <v>11.139854905195534</v>
      </c>
      <c r="L618" s="33">
        <f t="shared" si="51"/>
        <v>15.731363873783266</v>
      </c>
    </row>
    <row r="619" spans="3:12" x14ac:dyDescent="0.3">
      <c r="C619">
        <v>79.790516085340641</v>
      </c>
      <c r="D619">
        <v>72.41612724494189</v>
      </c>
      <c r="E619">
        <v>89.2930997905205</v>
      </c>
      <c r="F619">
        <v>129.571845137325</v>
      </c>
      <c r="H619" s="33">
        <f t="shared" si="47"/>
        <v>0.41896782931871712</v>
      </c>
      <c r="I619">
        <f t="shared" si="48"/>
        <v>48.322544898837805</v>
      </c>
      <c r="J619">
        <f t="shared" si="49"/>
        <v>1.4138004189589992</v>
      </c>
      <c r="K619">
        <f t="shared" si="50"/>
        <v>0.85630972535000183</v>
      </c>
      <c r="L619" s="33">
        <f t="shared" si="51"/>
        <v>51.011622872465523</v>
      </c>
    </row>
    <row r="620" spans="3:12" x14ac:dyDescent="0.3">
      <c r="C620">
        <v>80.755982227929053</v>
      </c>
      <c r="D620">
        <v>69.492456481675617</v>
      </c>
      <c r="E620">
        <v>87.280137904454023</v>
      </c>
      <c r="F620">
        <v>132.01693183043972</v>
      </c>
      <c r="H620" s="33">
        <f t="shared" si="47"/>
        <v>15.119644558581058</v>
      </c>
      <c r="I620">
        <f t="shared" si="48"/>
        <v>1.0150870366487652</v>
      </c>
      <c r="J620">
        <f t="shared" si="49"/>
        <v>5.4397241910919547</v>
      </c>
      <c r="K620">
        <f t="shared" si="50"/>
        <v>40.338636608794332</v>
      </c>
      <c r="L620" s="33">
        <f t="shared" si="51"/>
        <v>61.913092395116109</v>
      </c>
    </row>
    <row r="621" spans="3:12" x14ac:dyDescent="0.3">
      <c r="C621">
        <v>80.274957301371614</v>
      </c>
      <c r="D621">
        <v>71.004507339530392</v>
      </c>
      <c r="E621">
        <v>88.612697709177155</v>
      </c>
      <c r="F621">
        <v>129.38348310024594</v>
      </c>
      <c r="H621" s="33">
        <f t="shared" si="47"/>
        <v>5.499146027432289</v>
      </c>
      <c r="I621">
        <f t="shared" si="48"/>
        <v>20.090146790607832</v>
      </c>
      <c r="J621">
        <f t="shared" si="49"/>
        <v>2.7746045816456899</v>
      </c>
      <c r="K621">
        <f t="shared" si="50"/>
        <v>1.2330337995081209</v>
      </c>
      <c r="L621" s="33">
        <f t="shared" si="51"/>
        <v>29.596931199193932</v>
      </c>
    </row>
    <row r="622" spans="3:12" x14ac:dyDescent="0.3">
      <c r="C622">
        <v>80.34780214264174</v>
      </c>
      <c r="D622">
        <v>69.053718511277111</v>
      </c>
      <c r="E622">
        <v>92.436463546473533</v>
      </c>
      <c r="F622">
        <v>131.61043317348231</v>
      </c>
      <c r="H622" s="33">
        <f t="shared" si="47"/>
        <v>6.9560428528347984</v>
      </c>
      <c r="I622">
        <f t="shared" si="48"/>
        <v>1.8925629774457775</v>
      </c>
      <c r="J622">
        <f t="shared" si="49"/>
        <v>48.729270929470658</v>
      </c>
      <c r="K622">
        <f t="shared" si="50"/>
        <v>32.208663469646126</v>
      </c>
      <c r="L622" s="33">
        <f t="shared" si="51"/>
        <v>89.78654022939736</v>
      </c>
    </row>
    <row r="623" spans="3:12" x14ac:dyDescent="0.3">
      <c r="C623">
        <v>80.59154444898013</v>
      </c>
      <c r="D623">
        <v>70.668235315970378</v>
      </c>
      <c r="E623">
        <v>90.117117906484054</v>
      </c>
      <c r="F623">
        <v>128.80602899793303</v>
      </c>
      <c r="H623" s="33">
        <f t="shared" si="47"/>
        <v>11.830888979602605</v>
      </c>
      <c r="I623">
        <f t="shared" si="48"/>
        <v>13.36470631940756</v>
      </c>
      <c r="J623">
        <f t="shared" si="49"/>
        <v>2.342358129681088</v>
      </c>
      <c r="K623">
        <f t="shared" si="50"/>
        <v>2.3879420041339472</v>
      </c>
      <c r="L623" s="33">
        <f t="shared" si="51"/>
        <v>29.9258954328252</v>
      </c>
    </row>
    <row r="624" spans="3:12" x14ac:dyDescent="0.3">
      <c r="C624">
        <v>79.150679741433123</v>
      </c>
      <c r="D624">
        <v>70.464240201836219</v>
      </c>
      <c r="E624">
        <v>89.612912233715178</v>
      </c>
      <c r="F624">
        <v>131.60458512254991</v>
      </c>
      <c r="H624" s="33">
        <f t="shared" si="47"/>
        <v>1.6986405171337537</v>
      </c>
      <c r="I624">
        <f t="shared" si="48"/>
        <v>9.2848040367243811</v>
      </c>
      <c r="J624">
        <f t="shared" si="49"/>
        <v>0.77417553256964311</v>
      </c>
      <c r="K624">
        <f t="shared" si="50"/>
        <v>32.091702450998127</v>
      </c>
      <c r="L624" s="33">
        <f t="shared" si="51"/>
        <v>43.849322537425905</v>
      </c>
    </row>
    <row r="625" spans="3:12" x14ac:dyDescent="0.3">
      <c r="C625">
        <v>79.557210230705095</v>
      </c>
      <c r="D625">
        <v>69.617524508721544</v>
      </c>
      <c r="E625">
        <v>88.710811723867664</v>
      </c>
      <c r="F625">
        <v>128.71536374485004</v>
      </c>
      <c r="H625" s="33">
        <f t="shared" si="47"/>
        <v>0.88557953858980909</v>
      </c>
      <c r="I625">
        <f t="shared" si="48"/>
        <v>0.76495098255691119</v>
      </c>
      <c r="J625">
        <f t="shared" si="49"/>
        <v>2.5783765522646718</v>
      </c>
      <c r="K625">
        <f t="shared" si="50"/>
        <v>2.5692725102999248</v>
      </c>
      <c r="L625" s="33">
        <f t="shared" si="51"/>
        <v>6.7981795837113168</v>
      </c>
    </row>
    <row r="626" spans="3:12" x14ac:dyDescent="0.3">
      <c r="C626">
        <v>79.945391664368799</v>
      </c>
      <c r="D626">
        <v>68.813950696785469</v>
      </c>
      <c r="E626">
        <v>89.23236146059935</v>
      </c>
      <c r="F626">
        <v>129.27012822809047</v>
      </c>
      <c r="H626" s="33">
        <f t="shared" si="47"/>
        <v>0.10921667126240209</v>
      </c>
      <c r="I626">
        <f t="shared" si="48"/>
        <v>2.3720986064290628</v>
      </c>
      <c r="J626">
        <f t="shared" si="49"/>
        <v>1.5352770788013004</v>
      </c>
      <c r="K626">
        <f t="shared" si="50"/>
        <v>1.4597435438190587</v>
      </c>
      <c r="L626" s="33">
        <f t="shared" si="51"/>
        <v>5.4763359003118239</v>
      </c>
    </row>
    <row r="627" spans="3:12" x14ac:dyDescent="0.3">
      <c r="C627">
        <v>79.391602614196017</v>
      </c>
      <c r="D627">
        <v>69.836136339581572</v>
      </c>
      <c r="E627">
        <v>90.557974999537691</v>
      </c>
      <c r="F627">
        <v>132.1987762011122</v>
      </c>
      <c r="H627" s="33">
        <f t="shared" si="47"/>
        <v>1.2167947716079652</v>
      </c>
      <c r="I627">
        <f t="shared" si="48"/>
        <v>0.32772732083685696</v>
      </c>
      <c r="J627">
        <f t="shared" si="49"/>
        <v>11.159499990753829</v>
      </c>
      <c r="K627">
        <f t="shared" si="50"/>
        <v>43.975524022243917</v>
      </c>
      <c r="L627" s="33">
        <f t="shared" si="51"/>
        <v>56.679546105442569</v>
      </c>
    </row>
    <row r="628" spans="3:12" x14ac:dyDescent="0.3">
      <c r="C628">
        <v>78.467383193201385</v>
      </c>
      <c r="D628">
        <v>69.250212567858398</v>
      </c>
      <c r="E628">
        <v>89.342437604354927</v>
      </c>
      <c r="F628">
        <v>131.70432485901983</v>
      </c>
      <c r="H628" s="33">
        <f t="shared" si="47"/>
        <v>3.0652336135972291</v>
      </c>
      <c r="I628">
        <f t="shared" si="48"/>
        <v>1.4995748642832041</v>
      </c>
      <c r="J628">
        <f t="shared" si="49"/>
        <v>1.3151247912901454</v>
      </c>
      <c r="K628">
        <f t="shared" si="50"/>
        <v>34.086497180396691</v>
      </c>
      <c r="L628" s="33">
        <f t="shared" si="51"/>
        <v>39.96643044956727</v>
      </c>
    </row>
    <row r="629" spans="3:12" x14ac:dyDescent="0.3">
      <c r="C629">
        <v>82.513224899303168</v>
      </c>
      <c r="D629">
        <v>69.577205471723573</v>
      </c>
      <c r="E629">
        <v>89.510474708586116</v>
      </c>
      <c r="F629">
        <v>130.80812469605007</v>
      </c>
      <c r="H629" s="33">
        <f t="shared" si="47"/>
        <v>50.264497986063361</v>
      </c>
      <c r="I629">
        <f t="shared" si="48"/>
        <v>0.84558905655285344</v>
      </c>
      <c r="J629">
        <f t="shared" si="49"/>
        <v>0.97905058282776736</v>
      </c>
      <c r="K629">
        <f t="shared" si="50"/>
        <v>16.162493921001442</v>
      </c>
      <c r="L629" s="33">
        <f t="shared" si="51"/>
        <v>68.251631546445424</v>
      </c>
    </row>
    <row r="630" spans="3:12" x14ac:dyDescent="0.3">
      <c r="C630">
        <v>79.56437136461318</v>
      </c>
      <c r="D630">
        <v>71.341136339760851</v>
      </c>
      <c r="E630">
        <v>89.696725581088685</v>
      </c>
      <c r="F630">
        <v>129.34177139948588</v>
      </c>
      <c r="H630" s="33">
        <f t="shared" si="47"/>
        <v>0.8712572707736399</v>
      </c>
      <c r="I630">
        <f t="shared" si="48"/>
        <v>26.822726795217022</v>
      </c>
      <c r="J630">
        <f t="shared" si="49"/>
        <v>0.60654883782262914</v>
      </c>
      <c r="K630">
        <f t="shared" si="50"/>
        <v>1.3164572010282427</v>
      </c>
      <c r="L630" s="33">
        <f t="shared" si="51"/>
        <v>29.616990104841534</v>
      </c>
    </row>
    <row r="631" spans="3:12" x14ac:dyDescent="0.3">
      <c r="C631">
        <v>79.432524191433913</v>
      </c>
      <c r="D631">
        <v>71.344719748885836</v>
      </c>
      <c r="E631">
        <v>88.307966961874627</v>
      </c>
      <c r="F631">
        <v>131.04829268821049</v>
      </c>
      <c r="H631" s="33">
        <f t="shared" si="47"/>
        <v>1.1349516171321739</v>
      </c>
      <c r="I631">
        <f t="shared" si="48"/>
        <v>26.894394977716729</v>
      </c>
      <c r="J631">
        <f t="shared" si="49"/>
        <v>3.3840660762507468</v>
      </c>
      <c r="K631">
        <f t="shared" si="50"/>
        <v>20.965853764209896</v>
      </c>
      <c r="L631" s="33">
        <f t="shared" si="51"/>
        <v>52.379266435309546</v>
      </c>
    </row>
    <row r="632" spans="3:12" x14ac:dyDescent="0.3">
      <c r="C632">
        <v>81.580124262545723</v>
      </c>
      <c r="D632">
        <v>71.695884748187382</v>
      </c>
      <c r="E632">
        <v>89.080082488944754</v>
      </c>
      <c r="F632">
        <v>131.23294285003794</v>
      </c>
      <c r="H632" s="33">
        <f t="shared" si="47"/>
        <v>31.602485250914469</v>
      </c>
      <c r="I632">
        <f t="shared" si="48"/>
        <v>33.917694963747635</v>
      </c>
      <c r="J632">
        <f t="shared" si="49"/>
        <v>1.839835022110492</v>
      </c>
      <c r="K632">
        <f t="shared" si="50"/>
        <v>24.658857000758871</v>
      </c>
      <c r="L632" s="33">
        <f t="shared" si="51"/>
        <v>92.018872237531468</v>
      </c>
    </row>
    <row r="633" spans="3:12" x14ac:dyDescent="0.3">
      <c r="C633">
        <v>80.415861904912163</v>
      </c>
      <c r="D633">
        <v>70.115886678031529</v>
      </c>
      <c r="E633">
        <v>90.47894559429551</v>
      </c>
      <c r="F633">
        <v>129.65284814607003</v>
      </c>
      <c r="H633" s="33">
        <f t="shared" si="47"/>
        <v>8.3172380982432514</v>
      </c>
      <c r="I633">
        <f t="shared" si="48"/>
        <v>2.317733560630586</v>
      </c>
      <c r="J633">
        <f t="shared" si="49"/>
        <v>9.5789118859102018</v>
      </c>
      <c r="K633">
        <f t="shared" si="50"/>
        <v>0.69430370785994455</v>
      </c>
      <c r="L633" s="33">
        <f t="shared" si="51"/>
        <v>20.908187252643984</v>
      </c>
    </row>
    <row r="634" spans="3:12" x14ac:dyDescent="0.3">
      <c r="C634">
        <v>79.118981577339582</v>
      </c>
      <c r="D634">
        <v>70.029187958716648</v>
      </c>
      <c r="E634">
        <v>88.669875367340865</v>
      </c>
      <c r="F634">
        <v>129.83714360496379</v>
      </c>
      <c r="H634" s="33">
        <f t="shared" si="47"/>
        <v>1.7620368453208357</v>
      </c>
      <c r="I634">
        <f t="shared" si="48"/>
        <v>0.58375917433295399</v>
      </c>
      <c r="J634">
        <f t="shared" si="49"/>
        <v>2.6602492653182708</v>
      </c>
      <c r="K634">
        <f t="shared" si="50"/>
        <v>0.32571279007242993</v>
      </c>
      <c r="L634" s="33">
        <f t="shared" si="51"/>
        <v>5.3317580750444904</v>
      </c>
    </row>
    <row r="635" spans="3:12" x14ac:dyDescent="0.3">
      <c r="C635">
        <v>80.7892867870396</v>
      </c>
      <c r="D635">
        <v>69.021506482677069</v>
      </c>
      <c r="E635">
        <v>90.463132892036811</v>
      </c>
      <c r="F635">
        <v>129.96346332409303</v>
      </c>
      <c r="H635" s="33">
        <f t="shared" si="47"/>
        <v>15.785735740792006</v>
      </c>
      <c r="I635">
        <f t="shared" si="48"/>
        <v>1.9569870346458629</v>
      </c>
      <c r="J635">
        <f t="shared" si="49"/>
        <v>9.2626578407362103</v>
      </c>
      <c r="K635">
        <f t="shared" si="50"/>
        <v>7.3073351813945919E-2</v>
      </c>
      <c r="L635" s="33">
        <f t="shared" si="51"/>
        <v>27.078453967988025</v>
      </c>
    </row>
    <row r="636" spans="3:12" x14ac:dyDescent="0.3">
      <c r="C636">
        <v>79.400416754724574</v>
      </c>
      <c r="D636">
        <v>70.722800450603245</v>
      </c>
      <c r="E636">
        <v>89.326014403777663</v>
      </c>
      <c r="F636">
        <v>131.00895249488531</v>
      </c>
      <c r="H636" s="33">
        <f t="shared" si="47"/>
        <v>1.1991664905508514</v>
      </c>
      <c r="I636">
        <f t="shared" si="48"/>
        <v>14.456009012064897</v>
      </c>
      <c r="J636">
        <f t="shared" si="49"/>
        <v>1.3479711924446747</v>
      </c>
      <c r="K636">
        <f t="shared" si="50"/>
        <v>20.179049897706136</v>
      </c>
      <c r="L636" s="33">
        <f t="shared" si="51"/>
        <v>37.182196592766559</v>
      </c>
    </row>
    <row r="637" spans="3:12" x14ac:dyDescent="0.3">
      <c r="C637">
        <v>78.084440449019894</v>
      </c>
      <c r="D637">
        <v>69.060637492220849</v>
      </c>
      <c r="E637">
        <v>90.69370116762002</v>
      </c>
      <c r="F637">
        <v>131.03213096735999</v>
      </c>
      <c r="H637" s="33">
        <f t="shared" si="47"/>
        <v>3.831119101960212</v>
      </c>
      <c r="I637">
        <f t="shared" si="48"/>
        <v>1.8787250155583024</v>
      </c>
      <c r="J637">
        <f t="shared" si="49"/>
        <v>13.8740233524004</v>
      </c>
      <c r="K637">
        <f t="shared" si="50"/>
        <v>20.642619347199798</v>
      </c>
      <c r="L637" s="33">
        <f t="shared" si="51"/>
        <v>40.226486817118712</v>
      </c>
    </row>
    <row r="638" spans="3:12" x14ac:dyDescent="0.3">
      <c r="C638">
        <v>79.86553234521125</v>
      </c>
      <c r="D638">
        <v>68.974622030800674</v>
      </c>
      <c r="E638">
        <v>89.811661837156862</v>
      </c>
      <c r="F638">
        <v>129.41291434879531</v>
      </c>
      <c r="H638" s="33">
        <f t="shared" si="47"/>
        <v>0.26893530957750045</v>
      </c>
      <c r="I638">
        <f t="shared" si="48"/>
        <v>2.0507559383986518</v>
      </c>
      <c r="J638">
        <f t="shared" si="49"/>
        <v>0.37667632568627596</v>
      </c>
      <c r="K638">
        <f t="shared" si="50"/>
        <v>1.1741713024093769</v>
      </c>
      <c r="L638" s="33">
        <f t="shared" si="51"/>
        <v>3.8705388760718051</v>
      </c>
    </row>
    <row r="639" spans="3:12" x14ac:dyDescent="0.3">
      <c r="C639">
        <v>80.316276782541536</v>
      </c>
      <c r="D639">
        <v>70.195350366993807</v>
      </c>
      <c r="E639">
        <v>90.854818154039094</v>
      </c>
      <c r="F639">
        <v>128.69716930334107</v>
      </c>
      <c r="H639" s="33">
        <f t="shared" si="47"/>
        <v>6.3255356508307159</v>
      </c>
      <c r="I639">
        <f t="shared" si="48"/>
        <v>3.9070073398761451</v>
      </c>
      <c r="J639">
        <f t="shared" si="49"/>
        <v>17.096363080781884</v>
      </c>
      <c r="K639">
        <f t="shared" si="50"/>
        <v>2.6056613933178596</v>
      </c>
      <c r="L639" s="33">
        <f t="shared" si="51"/>
        <v>29.934567464806605</v>
      </c>
    </row>
    <row r="640" spans="3:12" x14ac:dyDescent="0.3">
      <c r="C640">
        <v>81.168912149296375</v>
      </c>
      <c r="D640">
        <v>70.808865934232017</v>
      </c>
      <c r="E640">
        <v>89.045908225525636</v>
      </c>
      <c r="F640">
        <v>129.97226609593781</v>
      </c>
      <c r="H640" s="33">
        <f t="shared" si="47"/>
        <v>23.3782429859275</v>
      </c>
      <c r="I640">
        <f t="shared" si="48"/>
        <v>16.177318684640341</v>
      </c>
      <c r="J640">
        <f t="shared" si="49"/>
        <v>1.9081835489487275</v>
      </c>
      <c r="K640">
        <f t="shared" si="50"/>
        <v>5.5467808124376461E-2</v>
      </c>
      <c r="L640" s="33">
        <f t="shared" si="51"/>
        <v>41.519213027640944</v>
      </c>
    </row>
    <row r="641" spans="3:12" x14ac:dyDescent="0.3">
      <c r="C641">
        <v>82.152301021851599</v>
      </c>
      <c r="D641">
        <v>69.930598733044462</v>
      </c>
      <c r="E641">
        <v>88.643284015997779</v>
      </c>
      <c r="F641">
        <v>130.76200194598641</v>
      </c>
      <c r="H641" s="33">
        <f t="shared" si="47"/>
        <v>43.046020437031984</v>
      </c>
      <c r="I641">
        <f t="shared" si="48"/>
        <v>0.13880253391107544</v>
      </c>
      <c r="J641">
        <f t="shared" si="49"/>
        <v>2.7134319680044428</v>
      </c>
      <c r="K641">
        <f t="shared" si="50"/>
        <v>15.240038919728249</v>
      </c>
      <c r="L641" s="33">
        <f t="shared" si="51"/>
        <v>61.138293858675752</v>
      </c>
    </row>
    <row r="642" spans="3:12" x14ac:dyDescent="0.3">
      <c r="C642">
        <v>81.095440893550403</v>
      </c>
      <c r="D642">
        <v>70.277022991213016</v>
      </c>
      <c r="E642">
        <v>89.236770236166194</v>
      </c>
      <c r="F642">
        <v>127.43493390269578</v>
      </c>
      <c r="H642" s="33">
        <f t="shared" si="47"/>
        <v>21.908817871008068</v>
      </c>
      <c r="I642">
        <f t="shared" si="48"/>
        <v>5.5404598242603242</v>
      </c>
      <c r="J642">
        <f t="shared" si="49"/>
        <v>1.5264595276676118</v>
      </c>
      <c r="K642">
        <f t="shared" si="50"/>
        <v>5.1301321946084499</v>
      </c>
      <c r="L642" s="33">
        <f t="shared" si="51"/>
        <v>34.105869417544454</v>
      </c>
    </row>
    <row r="643" spans="3:12" x14ac:dyDescent="0.3">
      <c r="C643">
        <v>80.603433818469057</v>
      </c>
      <c r="D643">
        <v>70.570444171898998</v>
      </c>
      <c r="E643">
        <v>91.009589141176548</v>
      </c>
      <c r="F643">
        <v>128.55602709430968</v>
      </c>
      <c r="H643" s="33">
        <f t="shared" si="47"/>
        <v>12.068676369381137</v>
      </c>
      <c r="I643">
        <f t="shared" si="48"/>
        <v>11.408883437979966</v>
      </c>
      <c r="J643">
        <f t="shared" si="49"/>
        <v>20.191782823530957</v>
      </c>
      <c r="K643">
        <f t="shared" si="50"/>
        <v>2.8879458113806322</v>
      </c>
      <c r="L643" s="33">
        <f t="shared" si="51"/>
        <v>46.557288442272693</v>
      </c>
    </row>
    <row r="644" spans="3:12" x14ac:dyDescent="0.3">
      <c r="C644">
        <v>81.136359060183167</v>
      </c>
      <c r="D644">
        <v>69.000169736973476</v>
      </c>
      <c r="E644">
        <v>89.571174384982442</v>
      </c>
      <c r="F644">
        <v>127.76922777527943</v>
      </c>
      <c r="H644" s="33">
        <f t="shared" si="47"/>
        <v>22.727181203663349</v>
      </c>
      <c r="I644">
        <f t="shared" si="48"/>
        <v>1.9996605260530487</v>
      </c>
      <c r="J644">
        <f t="shared" si="49"/>
        <v>0.8576512300351169</v>
      </c>
      <c r="K644">
        <f t="shared" si="50"/>
        <v>4.4615444494411349</v>
      </c>
      <c r="L644" s="33">
        <f t="shared" si="51"/>
        <v>30.04603740919265</v>
      </c>
    </row>
    <row r="645" spans="3:12" x14ac:dyDescent="0.3">
      <c r="C645">
        <v>77.841441654600203</v>
      </c>
      <c r="D645">
        <v>68.712914930365514</v>
      </c>
      <c r="E645">
        <v>87.306949808262289</v>
      </c>
      <c r="F645">
        <v>128.20218818058493</v>
      </c>
      <c r="H645" s="33">
        <f t="shared" si="47"/>
        <v>4.3171166907995939</v>
      </c>
      <c r="I645">
        <f t="shared" si="48"/>
        <v>2.574170139268972</v>
      </c>
      <c r="J645">
        <f t="shared" si="49"/>
        <v>5.3861003834754229</v>
      </c>
      <c r="K645">
        <f t="shared" si="50"/>
        <v>3.5956236388301477</v>
      </c>
      <c r="L645" s="33">
        <f t="shared" si="51"/>
        <v>15.873010852374136</v>
      </c>
    </row>
    <row r="646" spans="3:12" x14ac:dyDescent="0.3">
      <c r="C646">
        <v>82.27630152949132</v>
      </c>
      <c r="D646">
        <v>69.466087956534466</v>
      </c>
      <c r="E646">
        <v>89.927300677882158</v>
      </c>
      <c r="F646">
        <v>128.82363226788584</v>
      </c>
      <c r="H646" s="33">
        <f t="shared" si="47"/>
        <v>45.526030589826405</v>
      </c>
      <c r="I646">
        <f t="shared" si="48"/>
        <v>1.0678240869310685</v>
      </c>
      <c r="J646">
        <f t="shared" si="49"/>
        <v>0.14539864423568361</v>
      </c>
      <c r="K646">
        <f t="shared" si="50"/>
        <v>2.3527354642283171</v>
      </c>
      <c r="L646" s="33">
        <f t="shared" si="51"/>
        <v>49.091988785221474</v>
      </c>
    </row>
    <row r="647" spans="3:12" x14ac:dyDescent="0.3">
      <c r="C647">
        <v>81.547646206745412</v>
      </c>
      <c r="D647">
        <v>70.441692691310891</v>
      </c>
      <c r="E647">
        <v>89.865686959310551</v>
      </c>
      <c r="F647">
        <v>131.28341525851283</v>
      </c>
      <c r="H647" s="33">
        <f t="shared" si="47"/>
        <v>30.952924134908244</v>
      </c>
      <c r="I647">
        <f t="shared" si="48"/>
        <v>8.833853826217819</v>
      </c>
      <c r="J647">
        <f t="shared" si="49"/>
        <v>0.26862608137889765</v>
      </c>
      <c r="K647">
        <f t="shared" si="50"/>
        <v>25.668305170256644</v>
      </c>
      <c r="L647" s="33">
        <f t="shared" si="51"/>
        <v>65.723709212761605</v>
      </c>
    </row>
    <row r="648" spans="3:12" x14ac:dyDescent="0.3">
      <c r="C648">
        <v>80.640188773104455</v>
      </c>
      <c r="D648">
        <v>68.589910319424234</v>
      </c>
      <c r="E648">
        <v>89.918784396868432</v>
      </c>
      <c r="F648">
        <v>129.97264922058093</v>
      </c>
      <c r="H648" s="33">
        <f t="shared" si="47"/>
        <v>12.803775462089106</v>
      </c>
      <c r="I648">
        <f t="shared" si="48"/>
        <v>2.8201793611515313</v>
      </c>
      <c r="J648">
        <f t="shared" si="49"/>
        <v>0.16243120626313612</v>
      </c>
      <c r="K648">
        <f t="shared" si="50"/>
        <v>5.4701558838132769E-2</v>
      </c>
      <c r="L648" s="33">
        <f t="shared" si="51"/>
        <v>15.841087588341907</v>
      </c>
    </row>
    <row r="649" spans="3:12" x14ac:dyDescent="0.3">
      <c r="C649">
        <v>78.726113972224994</v>
      </c>
      <c r="D649">
        <v>69.921546987025067</v>
      </c>
      <c r="E649">
        <v>90.902191459317692</v>
      </c>
      <c r="F649">
        <v>129.63229811328347</v>
      </c>
      <c r="H649" s="33">
        <f t="shared" si="47"/>
        <v>2.5477720555500127</v>
      </c>
      <c r="I649">
        <f t="shared" si="48"/>
        <v>0.15690602594986558</v>
      </c>
      <c r="J649">
        <f t="shared" si="49"/>
        <v>18.043829186353832</v>
      </c>
      <c r="K649">
        <f t="shared" si="50"/>
        <v>0.73540377343306318</v>
      </c>
      <c r="L649" s="33">
        <f t="shared" si="51"/>
        <v>21.483911041286774</v>
      </c>
    </row>
    <row r="650" spans="3:12" x14ac:dyDescent="0.3">
      <c r="C650">
        <v>78.591767962352606</v>
      </c>
      <c r="D650">
        <v>69.572767137578921</v>
      </c>
      <c r="E650">
        <v>89.379778046204592</v>
      </c>
      <c r="F650">
        <v>128.57444436202059</v>
      </c>
      <c r="H650" s="33">
        <f t="shared" si="47"/>
        <v>2.8164640752947889</v>
      </c>
      <c r="I650">
        <f t="shared" si="48"/>
        <v>0.85446572484215721</v>
      </c>
      <c r="J650">
        <f t="shared" si="49"/>
        <v>1.2404439075908158</v>
      </c>
      <c r="K650">
        <f t="shared" si="50"/>
        <v>2.8511112759588286</v>
      </c>
      <c r="L650" s="33">
        <f t="shared" si="51"/>
        <v>7.7624849836865906</v>
      </c>
    </row>
    <row r="651" spans="3:12" x14ac:dyDescent="0.3">
      <c r="C651">
        <v>79.735751998741762</v>
      </c>
      <c r="D651">
        <v>69.982595682013198</v>
      </c>
      <c r="E651">
        <v>90.582003849558532</v>
      </c>
      <c r="F651">
        <v>130.75476123129192</v>
      </c>
      <c r="H651" s="33">
        <f t="shared" si="47"/>
        <v>0.52849600251647644</v>
      </c>
      <c r="I651">
        <f t="shared" si="48"/>
        <v>3.4808635973604396E-2</v>
      </c>
      <c r="J651">
        <f t="shared" si="49"/>
        <v>11.640076991170645</v>
      </c>
      <c r="K651">
        <f t="shared" si="50"/>
        <v>15.095224625838455</v>
      </c>
      <c r="L651" s="33">
        <f t="shared" si="51"/>
        <v>27.29860625549918</v>
      </c>
    </row>
    <row r="652" spans="3:12" x14ac:dyDescent="0.3">
      <c r="C652">
        <v>81.055075244948966</v>
      </c>
      <c r="D652">
        <v>70.44743501348421</v>
      </c>
      <c r="E652">
        <v>90.131458364194259</v>
      </c>
      <c r="F652">
        <v>128.82957126828842</v>
      </c>
      <c r="H652" s="33">
        <f t="shared" si="47"/>
        <v>21.101504898979329</v>
      </c>
      <c r="I652">
        <f t="shared" si="48"/>
        <v>8.9487002696841955</v>
      </c>
      <c r="J652">
        <f t="shared" si="49"/>
        <v>2.629167283885181</v>
      </c>
      <c r="K652">
        <f t="shared" si="50"/>
        <v>2.3408574634231627</v>
      </c>
      <c r="L652" s="33">
        <f t="shared" si="51"/>
        <v>35.020229915971868</v>
      </c>
    </row>
    <row r="653" spans="3:12" x14ac:dyDescent="0.3">
      <c r="C653">
        <v>79.411186308861943</v>
      </c>
      <c r="D653">
        <v>71.273542693525087</v>
      </c>
      <c r="E653">
        <v>89.055869466246804</v>
      </c>
      <c r="F653">
        <v>129.20359186944552</v>
      </c>
      <c r="H653" s="33">
        <f t="shared" si="47"/>
        <v>1.1776273822761141</v>
      </c>
      <c r="I653">
        <f t="shared" si="48"/>
        <v>25.470853870501742</v>
      </c>
      <c r="J653">
        <f t="shared" si="49"/>
        <v>1.8882610675063916</v>
      </c>
      <c r="K653">
        <f t="shared" si="50"/>
        <v>1.5928162611089647</v>
      </c>
      <c r="L653" s="33">
        <f t="shared" si="51"/>
        <v>30.129558581393212</v>
      </c>
    </row>
    <row r="654" spans="3:12" x14ac:dyDescent="0.3">
      <c r="C654">
        <v>78.316866367531475</v>
      </c>
      <c r="D654">
        <v>69.282551925716689</v>
      </c>
      <c r="E654">
        <v>89.753613337816205</v>
      </c>
      <c r="F654">
        <v>130.52309360398795</v>
      </c>
      <c r="H654" s="33">
        <f t="shared" si="47"/>
        <v>3.3662672649370506</v>
      </c>
      <c r="I654">
        <f t="shared" si="48"/>
        <v>1.4348961485666223</v>
      </c>
      <c r="J654">
        <f t="shared" si="49"/>
        <v>0.49277332436759025</v>
      </c>
      <c r="K654">
        <f t="shared" si="50"/>
        <v>10.461872079758905</v>
      </c>
      <c r="L654" s="33">
        <f t="shared" si="51"/>
        <v>15.755808817630168</v>
      </c>
    </row>
    <row r="655" spans="3:12" x14ac:dyDescent="0.3">
      <c r="C655">
        <v>80.887805526872398</v>
      </c>
      <c r="D655">
        <v>70.661461854178924</v>
      </c>
      <c r="E655">
        <v>90.266308006757754</v>
      </c>
      <c r="F655">
        <v>132.34587787417695</v>
      </c>
      <c r="H655" s="33">
        <f t="shared" si="47"/>
        <v>17.756110537447967</v>
      </c>
      <c r="I655">
        <f t="shared" si="48"/>
        <v>13.229237083578482</v>
      </c>
      <c r="J655">
        <f t="shared" si="49"/>
        <v>5.326160135155078</v>
      </c>
      <c r="K655">
        <f t="shared" si="50"/>
        <v>46.917557483538985</v>
      </c>
      <c r="L655" s="33">
        <f t="shared" si="51"/>
        <v>83.229065239720512</v>
      </c>
    </row>
    <row r="656" spans="3:12" x14ac:dyDescent="0.3">
      <c r="C656">
        <v>79.271924480126472</v>
      </c>
      <c r="D656">
        <v>69.846362470634631</v>
      </c>
      <c r="E656">
        <v>89.541630586463725</v>
      </c>
      <c r="F656">
        <v>129.32370883470867</v>
      </c>
      <c r="H656" s="33">
        <f t="shared" si="47"/>
        <v>1.4561510397470556</v>
      </c>
      <c r="I656">
        <f t="shared" si="48"/>
        <v>0.30727505873073824</v>
      </c>
      <c r="J656">
        <f t="shared" si="49"/>
        <v>0.91673882707254961</v>
      </c>
      <c r="K656">
        <f t="shared" si="50"/>
        <v>1.3525823305826634</v>
      </c>
      <c r="L656" s="33">
        <f t="shared" si="51"/>
        <v>4.0327472561330069</v>
      </c>
    </row>
    <row r="657" spans="3:12" x14ac:dyDescent="0.3">
      <c r="C657">
        <v>80.029876900953241</v>
      </c>
      <c r="D657">
        <v>70.934853687795112</v>
      </c>
      <c r="E657">
        <v>90.474489070256823</v>
      </c>
      <c r="F657">
        <v>129.80901407070633</v>
      </c>
      <c r="H657" s="33">
        <f t="shared" si="47"/>
        <v>0.59753801906481385</v>
      </c>
      <c r="I657">
        <f t="shared" si="48"/>
        <v>18.697073755902238</v>
      </c>
      <c r="J657">
        <f t="shared" si="49"/>
        <v>9.4897814051364549</v>
      </c>
      <c r="K657">
        <f t="shared" si="50"/>
        <v>0.38197185858734883</v>
      </c>
      <c r="L657" s="33">
        <f t="shared" si="51"/>
        <v>29.166365038690856</v>
      </c>
    </row>
    <row r="658" spans="3:12" x14ac:dyDescent="0.3">
      <c r="C658">
        <v>79.880338918956113</v>
      </c>
      <c r="D658">
        <v>69.707999904785538</v>
      </c>
      <c r="E658">
        <v>88.680179942311952</v>
      </c>
      <c r="F658">
        <v>130.00837644620333</v>
      </c>
      <c r="H658" s="33">
        <f t="shared" si="47"/>
        <v>0.2393221620877739</v>
      </c>
      <c r="I658">
        <f t="shared" si="48"/>
        <v>0.58400019042892382</v>
      </c>
      <c r="J658">
        <f t="shared" si="49"/>
        <v>2.6396401153760962</v>
      </c>
      <c r="K658">
        <f t="shared" si="50"/>
        <v>0.16752892406657338</v>
      </c>
      <c r="L658" s="33">
        <f t="shared" si="51"/>
        <v>3.6304913919593673</v>
      </c>
    </row>
    <row r="659" spans="3:12" x14ac:dyDescent="0.3">
      <c r="C659">
        <v>80.274242211162345</v>
      </c>
      <c r="D659">
        <v>70.540098881174345</v>
      </c>
      <c r="E659">
        <v>90.853387973620556</v>
      </c>
      <c r="F659">
        <v>130.20151446733507</v>
      </c>
      <c r="H659" s="33">
        <f t="shared" si="47"/>
        <v>5.4848442232469097</v>
      </c>
      <c r="I659">
        <f t="shared" si="48"/>
        <v>10.801977623486891</v>
      </c>
      <c r="J659">
        <f t="shared" si="49"/>
        <v>17.067759472411126</v>
      </c>
      <c r="K659">
        <f t="shared" si="50"/>
        <v>4.0302893467014655</v>
      </c>
      <c r="L659" s="33">
        <f t="shared" si="51"/>
        <v>37.384870665846393</v>
      </c>
    </row>
    <row r="660" spans="3:12" x14ac:dyDescent="0.3">
      <c r="C660">
        <v>80.811414793133736</v>
      </c>
      <c r="D660">
        <v>70.75730667958851</v>
      </c>
      <c r="E660">
        <v>88.834261987212813</v>
      </c>
      <c r="F660">
        <v>130.08981487553683</v>
      </c>
      <c r="H660" s="33">
        <f t="shared" si="47"/>
        <v>16.228295862674713</v>
      </c>
      <c r="I660">
        <f t="shared" si="48"/>
        <v>15.146133591770194</v>
      </c>
      <c r="J660">
        <f t="shared" si="49"/>
        <v>2.3314760255743749</v>
      </c>
      <c r="K660">
        <f t="shared" si="50"/>
        <v>1.7962975107366219</v>
      </c>
      <c r="L660" s="33">
        <f t="shared" si="51"/>
        <v>35.502202990755904</v>
      </c>
    </row>
    <row r="661" spans="3:12" x14ac:dyDescent="0.3">
      <c r="C661">
        <v>78.309249349404126</v>
      </c>
      <c r="D661">
        <v>71.146631802839693</v>
      </c>
      <c r="E661">
        <v>89.978388132149121</v>
      </c>
      <c r="F661">
        <v>129.2685297911521</v>
      </c>
      <c r="H661" s="33">
        <f t="shared" si="47"/>
        <v>3.3815013011917472</v>
      </c>
      <c r="I661">
        <f t="shared" si="48"/>
        <v>22.932636056793854</v>
      </c>
      <c r="J661">
        <f t="shared" si="49"/>
        <v>4.3223735701758415E-2</v>
      </c>
      <c r="K661">
        <f t="shared" si="50"/>
        <v>1.4629404176957905</v>
      </c>
      <c r="L661" s="33">
        <f t="shared" si="51"/>
        <v>27.82030151138315</v>
      </c>
    </row>
    <row r="662" spans="3:12" x14ac:dyDescent="0.3">
      <c r="C662">
        <v>78.745336142746964</v>
      </c>
      <c r="D662">
        <v>71.603480086487252</v>
      </c>
      <c r="E662">
        <v>91.274229362024926</v>
      </c>
      <c r="F662">
        <v>130.22318772607832</v>
      </c>
      <c r="H662" s="33">
        <f t="shared" si="47"/>
        <v>2.5093277145060711</v>
      </c>
      <c r="I662">
        <f t="shared" si="48"/>
        <v>32.069601729745045</v>
      </c>
      <c r="J662">
        <f t="shared" si="49"/>
        <v>25.484587240498513</v>
      </c>
      <c r="K662">
        <f t="shared" si="50"/>
        <v>4.4637545215664431</v>
      </c>
      <c r="L662" s="33">
        <f t="shared" si="51"/>
        <v>64.527271206316072</v>
      </c>
    </row>
    <row r="663" spans="3:12" x14ac:dyDescent="0.3">
      <c r="C663">
        <v>79.359247340180445</v>
      </c>
      <c r="D663">
        <v>69.312997260858538</v>
      </c>
      <c r="E663">
        <v>88.980943018977996</v>
      </c>
      <c r="F663">
        <v>129.38440737423662</v>
      </c>
      <c r="H663" s="33">
        <f t="shared" ref="H663:H726" si="52">IF(C663&gt;$C$19,(C663-$C$19)*$I$11,($C$19-C663)*$H$11)</f>
        <v>1.2815053196391091</v>
      </c>
      <c r="I663">
        <f t="shared" ref="I663:I726" si="53">IF(D663&gt;$D$19,(D663-$D$19)*$I$11,($D$19-D663)*$H$11)</f>
        <v>1.3740054782829247</v>
      </c>
      <c r="J663">
        <f t="shared" ref="J663:J726" si="54">IF(E663&gt;$E$19,(E663-$E$19)*$I$11,($E$19-E663)*$H$11)</f>
        <v>2.0381139620440081</v>
      </c>
      <c r="K663">
        <f t="shared" ref="K663:K726" si="55">IF(F663&gt;$F$19,(F663-$F$19)*$I$11,($F$19-F663)*$H$11)</f>
        <v>1.2311852515267674</v>
      </c>
      <c r="L663" s="33">
        <f t="shared" ref="L663:L726" si="56">SUM(H663:K663)</f>
        <v>5.9248100114928093</v>
      </c>
    </row>
    <row r="664" spans="3:12" x14ac:dyDescent="0.3">
      <c r="C664">
        <v>81.255671122635249</v>
      </c>
      <c r="D664">
        <v>69.876947640586877</v>
      </c>
      <c r="E664">
        <v>89.697366774853435</v>
      </c>
      <c r="F664">
        <v>129.23953055258607</v>
      </c>
      <c r="H664" s="33">
        <f t="shared" si="52"/>
        <v>25.113422452704981</v>
      </c>
      <c r="I664">
        <f t="shared" si="53"/>
        <v>0.24610471882624552</v>
      </c>
      <c r="J664">
        <f t="shared" si="54"/>
        <v>0.60526645029312931</v>
      </c>
      <c r="K664">
        <f t="shared" si="55"/>
        <v>1.5209388948278502</v>
      </c>
      <c r="L664" s="33">
        <f t="shared" si="56"/>
        <v>27.485732516652206</v>
      </c>
    </row>
    <row r="665" spans="3:12" x14ac:dyDescent="0.3">
      <c r="C665">
        <v>81.12188899947796</v>
      </c>
      <c r="D665">
        <v>68.502098605968058</v>
      </c>
      <c r="E665">
        <v>91.59659975906834</v>
      </c>
      <c r="F665">
        <v>128.91522975303815</v>
      </c>
      <c r="H665" s="33">
        <f t="shared" si="52"/>
        <v>22.437779989559203</v>
      </c>
      <c r="I665">
        <f t="shared" si="53"/>
        <v>2.9958027880638838</v>
      </c>
      <c r="J665">
        <f t="shared" si="54"/>
        <v>31.931995181366801</v>
      </c>
      <c r="K665">
        <f t="shared" si="55"/>
        <v>2.1695404939237051</v>
      </c>
      <c r="L665" s="33">
        <f t="shared" si="56"/>
        <v>59.535118452913594</v>
      </c>
    </row>
    <row r="666" spans="3:12" x14ac:dyDescent="0.3">
      <c r="C666">
        <v>79.360186393460026</v>
      </c>
      <c r="D666">
        <v>69.681068629797664</v>
      </c>
      <c r="E666">
        <v>89.607133531753789</v>
      </c>
      <c r="F666">
        <v>129.32255377643742</v>
      </c>
      <c r="H666" s="33">
        <f t="shared" si="52"/>
        <v>1.279627213079948</v>
      </c>
      <c r="I666">
        <f t="shared" si="53"/>
        <v>0.63786274040467106</v>
      </c>
      <c r="J666">
        <f t="shared" si="54"/>
        <v>0.7857329364924226</v>
      </c>
      <c r="K666">
        <f t="shared" si="55"/>
        <v>1.3548924471251667</v>
      </c>
      <c r="L666" s="33">
        <f t="shared" si="56"/>
        <v>4.0581153371022083</v>
      </c>
    </row>
    <row r="667" spans="3:12" x14ac:dyDescent="0.3">
      <c r="C667">
        <v>80.88180968305096</v>
      </c>
      <c r="D667">
        <v>71.52474513015477</v>
      </c>
      <c r="E667">
        <v>91.156879534391919</v>
      </c>
      <c r="F667">
        <v>129.38865585136227</v>
      </c>
      <c r="H667" s="33">
        <f t="shared" si="52"/>
        <v>17.636193661019206</v>
      </c>
      <c r="I667">
        <f t="shared" si="53"/>
        <v>30.494902603095397</v>
      </c>
      <c r="J667">
        <f t="shared" si="54"/>
        <v>23.137590687838383</v>
      </c>
      <c r="K667">
        <f t="shared" si="55"/>
        <v>1.2226882972754538</v>
      </c>
      <c r="L667" s="33">
        <f t="shared" si="56"/>
        <v>72.49137524922844</v>
      </c>
    </row>
    <row r="668" spans="3:12" x14ac:dyDescent="0.3">
      <c r="C668">
        <v>79.964994685797137</v>
      </c>
      <c r="D668">
        <v>69.847987055545673</v>
      </c>
      <c r="E668">
        <v>90.072238890425069</v>
      </c>
      <c r="F668">
        <v>131.21227003546664</v>
      </c>
      <c r="H668" s="33">
        <f t="shared" si="52"/>
        <v>7.0010628405725583E-2</v>
      </c>
      <c r="I668">
        <f t="shared" si="53"/>
        <v>0.30402588890865445</v>
      </c>
      <c r="J668">
        <f t="shared" si="54"/>
        <v>1.4447778085013852</v>
      </c>
      <c r="K668">
        <f t="shared" si="55"/>
        <v>24.245400709332898</v>
      </c>
      <c r="L668" s="33">
        <f t="shared" si="56"/>
        <v>26.064215035148663</v>
      </c>
    </row>
    <row r="669" spans="3:12" x14ac:dyDescent="0.3">
      <c r="C669">
        <v>79.941636588118854</v>
      </c>
      <c r="D669">
        <v>71.560956661705859</v>
      </c>
      <c r="E669">
        <v>87.477680153679103</v>
      </c>
      <c r="F669">
        <v>129.43611555863754</v>
      </c>
      <c r="H669" s="33">
        <f t="shared" si="52"/>
        <v>0.11672682376229204</v>
      </c>
      <c r="I669">
        <f t="shared" si="53"/>
        <v>31.21913323411718</v>
      </c>
      <c r="J669">
        <f t="shared" si="54"/>
        <v>5.0446396926417947</v>
      </c>
      <c r="K669">
        <f t="shared" si="55"/>
        <v>1.1277688827249222</v>
      </c>
      <c r="L669" s="33">
        <f t="shared" si="56"/>
        <v>37.508268633246189</v>
      </c>
    </row>
    <row r="670" spans="3:12" x14ac:dyDescent="0.3">
      <c r="C670">
        <v>82.274264261359349</v>
      </c>
      <c r="D670">
        <v>69.097808540682308</v>
      </c>
      <c r="E670">
        <v>89.503650087717688</v>
      </c>
      <c r="F670">
        <v>131.78675691131502</v>
      </c>
      <c r="H670" s="33">
        <f t="shared" si="52"/>
        <v>45.485285227186978</v>
      </c>
      <c r="I670">
        <f t="shared" si="53"/>
        <v>1.8043829186353832</v>
      </c>
      <c r="J670">
        <f t="shared" si="54"/>
        <v>0.99269982456462458</v>
      </c>
      <c r="K670">
        <f t="shared" si="55"/>
        <v>35.735138226300478</v>
      </c>
      <c r="L670" s="33">
        <f t="shared" si="56"/>
        <v>84.017506196687464</v>
      </c>
    </row>
    <row r="671" spans="3:12" x14ac:dyDescent="0.3">
      <c r="C671">
        <v>81.336638888460584</v>
      </c>
      <c r="D671">
        <v>69.695684209655155</v>
      </c>
      <c r="E671">
        <v>90.193323330677231</v>
      </c>
      <c r="F671">
        <v>131.58548118633917</v>
      </c>
      <c r="H671" s="33">
        <f t="shared" si="52"/>
        <v>26.73277776921168</v>
      </c>
      <c r="I671">
        <f t="shared" si="53"/>
        <v>0.60863158068968914</v>
      </c>
      <c r="J671">
        <f t="shared" si="54"/>
        <v>3.8664666135446168</v>
      </c>
      <c r="K671">
        <f t="shared" si="55"/>
        <v>31.70962372678332</v>
      </c>
      <c r="L671" s="33">
        <f t="shared" si="56"/>
        <v>62.917499690229306</v>
      </c>
    </row>
    <row r="672" spans="3:12" x14ac:dyDescent="0.3">
      <c r="C672">
        <v>80.139255007525207</v>
      </c>
      <c r="D672">
        <v>68.005932866362855</v>
      </c>
      <c r="E672">
        <v>90.220209130930016</v>
      </c>
      <c r="F672">
        <v>130.18654645828065</v>
      </c>
      <c r="H672" s="33">
        <f t="shared" si="52"/>
        <v>2.7851001505041495</v>
      </c>
      <c r="I672">
        <f t="shared" si="53"/>
        <v>3.9881342672742903</v>
      </c>
      <c r="J672">
        <f t="shared" si="54"/>
        <v>4.4041826186003163</v>
      </c>
      <c r="K672">
        <f t="shared" si="55"/>
        <v>3.7309291656129062</v>
      </c>
      <c r="L672" s="33">
        <f t="shared" si="56"/>
        <v>14.908346201991662</v>
      </c>
    </row>
    <row r="673" spans="3:12" x14ac:dyDescent="0.3">
      <c r="C673">
        <v>80.153870587382698</v>
      </c>
      <c r="D673">
        <v>71.111045548896072</v>
      </c>
      <c r="E673">
        <v>90.204950083571021</v>
      </c>
      <c r="F673">
        <v>130.4048774826515</v>
      </c>
      <c r="H673" s="33">
        <f t="shared" si="52"/>
        <v>3.0774117476539686</v>
      </c>
      <c r="I673">
        <f t="shared" si="53"/>
        <v>22.220910977921449</v>
      </c>
      <c r="J673">
        <f t="shared" si="54"/>
        <v>4.0990016714204103</v>
      </c>
      <c r="K673">
        <f t="shared" si="55"/>
        <v>8.0975496530300006</v>
      </c>
      <c r="L673" s="33">
        <f t="shared" si="56"/>
        <v>37.494874050025828</v>
      </c>
    </row>
    <row r="674" spans="3:12" x14ac:dyDescent="0.3">
      <c r="C674">
        <v>80.5349716047931</v>
      </c>
      <c r="D674">
        <v>68.743992364325095</v>
      </c>
      <c r="E674">
        <v>90.377294782083482</v>
      </c>
      <c r="F674">
        <v>131.34812580654398</v>
      </c>
      <c r="H674" s="33">
        <f t="shared" si="52"/>
        <v>10.699432095861994</v>
      </c>
      <c r="I674">
        <f t="shared" si="53"/>
        <v>2.5120152713498101</v>
      </c>
      <c r="J674">
        <f t="shared" si="54"/>
        <v>7.545895641669631</v>
      </c>
      <c r="K674">
        <f t="shared" si="55"/>
        <v>26.962516130879521</v>
      </c>
      <c r="L674" s="33">
        <f t="shared" si="56"/>
        <v>47.719859139760956</v>
      </c>
    </row>
    <row r="675" spans="3:12" x14ac:dyDescent="0.3">
      <c r="C675">
        <v>79.536100858676946</v>
      </c>
      <c r="D675">
        <v>69.571762145933462</v>
      </c>
      <c r="E675">
        <v>89.828455656825099</v>
      </c>
      <c r="F675">
        <v>131.06581410364015</v>
      </c>
      <c r="H675" s="33">
        <f t="shared" si="52"/>
        <v>0.92779828264610842</v>
      </c>
      <c r="I675">
        <f t="shared" si="53"/>
        <v>0.85647570813307539</v>
      </c>
      <c r="J675">
        <f t="shared" si="54"/>
        <v>0.34308868634980172</v>
      </c>
      <c r="K675">
        <f t="shared" si="55"/>
        <v>21.316282072803006</v>
      </c>
      <c r="L675" s="33">
        <f t="shared" si="56"/>
        <v>23.443644749931991</v>
      </c>
    </row>
    <row r="676" spans="3:12" x14ac:dyDescent="0.3">
      <c r="C676">
        <v>79.349731751863146</v>
      </c>
      <c r="D676">
        <v>70.169060285770684</v>
      </c>
      <c r="E676">
        <v>89.328221065297839</v>
      </c>
      <c r="F676">
        <v>130.65253857428615</v>
      </c>
      <c r="H676" s="33">
        <f t="shared" si="52"/>
        <v>1.3005364962737076</v>
      </c>
      <c r="I676">
        <f t="shared" si="53"/>
        <v>3.381205715413671</v>
      </c>
      <c r="J676">
        <f t="shared" si="54"/>
        <v>1.3435578694043215</v>
      </c>
      <c r="K676">
        <f t="shared" si="55"/>
        <v>13.050771485723089</v>
      </c>
      <c r="L676" s="33">
        <f t="shared" si="56"/>
        <v>19.07607156681479</v>
      </c>
    </row>
    <row r="677" spans="3:12" x14ac:dyDescent="0.3">
      <c r="C677">
        <v>80.856473434396321</v>
      </c>
      <c r="D677">
        <v>69.610189433951746</v>
      </c>
      <c r="E677">
        <v>89.775949390823371</v>
      </c>
      <c r="F677">
        <v>131.17453510029009</v>
      </c>
      <c r="H677" s="33">
        <f t="shared" si="52"/>
        <v>17.129468687926419</v>
      </c>
      <c r="I677">
        <f t="shared" si="53"/>
        <v>0.77962113209650852</v>
      </c>
      <c r="J677">
        <f t="shared" si="54"/>
        <v>0.44810121835325845</v>
      </c>
      <c r="K677">
        <f t="shared" si="55"/>
        <v>23.490702005801722</v>
      </c>
      <c r="L677" s="33">
        <f t="shared" si="56"/>
        <v>41.847893044177908</v>
      </c>
    </row>
    <row r="678" spans="3:12" x14ac:dyDescent="0.3">
      <c r="C678">
        <v>79.813763906786335</v>
      </c>
      <c r="D678">
        <v>69.555184331256896</v>
      </c>
      <c r="E678">
        <v>89.018662037997274</v>
      </c>
      <c r="F678">
        <v>130.49340997065883</v>
      </c>
      <c r="H678" s="33">
        <f t="shared" si="52"/>
        <v>0.3724721864273306</v>
      </c>
      <c r="I678">
        <f t="shared" si="53"/>
        <v>0.88963133748620749</v>
      </c>
      <c r="J678">
        <f t="shared" si="54"/>
        <v>1.9626759240054525</v>
      </c>
      <c r="K678">
        <f t="shared" si="55"/>
        <v>9.868199413176626</v>
      </c>
      <c r="L678" s="33">
        <f t="shared" si="56"/>
        <v>13.092978861095617</v>
      </c>
    </row>
    <row r="679" spans="3:12" x14ac:dyDescent="0.3">
      <c r="C679">
        <v>79.45813101476233</v>
      </c>
      <c r="D679">
        <v>70.327555653711897</v>
      </c>
      <c r="E679">
        <v>89.877487653066055</v>
      </c>
      <c r="F679">
        <v>129.41899204713991</v>
      </c>
      <c r="H679" s="33">
        <f t="shared" si="52"/>
        <v>1.0837379704753403</v>
      </c>
      <c r="I679">
        <f t="shared" si="53"/>
        <v>6.5511130742379464</v>
      </c>
      <c r="J679">
        <f t="shared" si="54"/>
        <v>0.24502469386789016</v>
      </c>
      <c r="K679">
        <f t="shared" si="55"/>
        <v>1.1620159057201818</v>
      </c>
      <c r="L679" s="33">
        <f t="shared" si="56"/>
        <v>9.0418916443013586</v>
      </c>
    </row>
    <row r="680" spans="3:12" x14ac:dyDescent="0.3">
      <c r="C680">
        <v>79.842877969058463</v>
      </c>
      <c r="D680">
        <v>71.161070031230338</v>
      </c>
      <c r="E680">
        <v>90.598759015701944</v>
      </c>
      <c r="F680">
        <v>131.34698893816676</v>
      </c>
      <c r="H680" s="33">
        <f t="shared" si="52"/>
        <v>0.3142440618830733</v>
      </c>
      <c r="I680">
        <f t="shared" si="53"/>
        <v>23.221400624606758</v>
      </c>
      <c r="J680">
        <f t="shared" si="54"/>
        <v>11.97518031403888</v>
      </c>
      <c r="K680">
        <f t="shared" si="55"/>
        <v>26.939778763335198</v>
      </c>
      <c r="L680" s="33">
        <f t="shared" si="56"/>
        <v>62.45060376386391</v>
      </c>
    </row>
    <row r="681" spans="3:12" x14ac:dyDescent="0.3">
      <c r="C681">
        <v>79.796220890857512</v>
      </c>
      <c r="D681">
        <v>70.194493168237386</v>
      </c>
      <c r="E681">
        <v>90.472093688586028</v>
      </c>
      <c r="F681">
        <v>131.39333678816911</v>
      </c>
      <c r="H681" s="33">
        <f t="shared" si="52"/>
        <v>0.40755821828497574</v>
      </c>
      <c r="I681">
        <f t="shared" si="53"/>
        <v>3.8898633647477254</v>
      </c>
      <c r="J681">
        <f t="shared" si="54"/>
        <v>9.4418737717205659</v>
      </c>
      <c r="K681">
        <f t="shared" si="55"/>
        <v>27.866735763382167</v>
      </c>
      <c r="L681" s="33">
        <f t="shared" si="56"/>
        <v>41.606031118135434</v>
      </c>
    </row>
    <row r="682" spans="3:12" x14ac:dyDescent="0.3">
      <c r="C682">
        <v>80.756390363676473</v>
      </c>
      <c r="D682">
        <v>71.707603587419726</v>
      </c>
      <c r="E682">
        <v>89.743586158729158</v>
      </c>
      <c r="F682">
        <v>129.64959556564281</v>
      </c>
      <c r="H682" s="33">
        <f t="shared" si="52"/>
        <v>15.12780727352947</v>
      </c>
      <c r="I682">
        <f t="shared" si="53"/>
        <v>34.152071748394519</v>
      </c>
      <c r="J682">
        <f t="shared" si="54"/>
        <v>0.51282768254168332</v>
      </c>
      <c r="K682">
        <f t="shared" si="55"/>
        <v>0.70080886871437542</v>
      </c>
      <c r="L682" s="33">
        <f t="shared" si="56"/>
        <v>50.493515573180048</v>
      </c>
    </row>
    <row r="683" spans="3:12" x14ac:dyDescent="0.3">
      <c r="C683">
        <v>80.490733782498864</v>
      </c>
      <c r="D683">
        <v>69.821309302205918</v>
      </c>
      <c r="E683">
        <v>89.244323589664418</v>
      </c>
      <c r="F683">
        <v>130.36966639527236</v>
      </c>
      <c r="H683" s="33">
        <f t="shared" si="52"/>
        <v>9.8146756499772891</v>
      </c>
      <c r="I683">
        <f t="shared" si="53"/>
        <v>0.35738139558816329</v>
      </c>
      <c r="J683">
        <f t="shared" si="54"/>
        <v>1.5113528206711635</v>
      </c>
      <c r="K683">
        <f t="shared" si="55"/>
        <v>7.3933279054472223</v>
      </c>
      <c r="L683" s="33">
        <f t="shared" si="56"/>
        <v>19.076737771683838</v>
      </c>
    </row>
    <row r="684" spans="3:12" x14ac:dyDescent="0.3">
      <c r="C684">
        <v>81.05267645267304</v>
      </c>
      <c r="D684">
        <v>70.102879766927799</v>
      </c>
      <c r="E684">
        <v>88.74885816097958</v>
      </c>
      <c r="F684">
        <v>129.76935555423552</v>
      </c>
      <c r="H684" s="33">
        <f t="shared" si="52"/>
        <v>21.053529053460807</v>
      </c>
      <c r="I684">
        <f t="shared" si="53"/>
        <v>2.0575953385559842</v>
      </c>
      <c r="J684">
        <f t="shared" si="54"/>
        <v>2.5022836780408397</v>
      </c>
      <c r="K684">
        <f t="shared" si="55"/>
        <v>0.46128889152896591</v>
      </c>
      <c r="L684" s="33">
        <f t="shared" si="56"/>
        <v>26.074696961586596</v>
      </c>
    </row>
    <row r="685" spans="3:12" x14ac:dyDescent="0.3">
      <c r="C685">
        <v>80.260685055764043</v>
      </c>
      <c r="D685">
        <v>68.128541847108863</v>
      </c>
      <c r="E685">
        <v>87.665945556946099</v>
      </c>
      <c r="F685">
        <v>129.81578753249778</v>
      </c>
      <c r="H685" s="33">
        <f t="shared" si="52"/>
        <v>5.2137011152808554</v>
      </c>
      <c r="I685">
        <f t="shared" si="53"/>
        <v>3.7429163057822734</v>
      </c>
      <c r="J685">
        <f t="shared" si="54"/>
        <v>4.6681088861078024</v>
      </c>
      <c r="K685">
        <f t="shared" si="55"/>
        <v>0.36842493500444107</v>
      </c>
      <c r="L685" s="33">
        <f t="shared" si="56"/>
        <v>13.993151242175372</v>
      </c>
    </row>
    <row r="686" spans="3:12" x14ac:dyDescent="0.3">
      <c r="C686">
        <v>79.303181539289653</v>
      </c>
      <c r="D686">
        <v>69.568740349786822</v>
      </c>
      <c r="E686">
        <v>89.450762970809592</v>
      </c>
      <c r="F686">
        <v>130.06993786882958</v>
      </c>
      <c r="H686" s="33">
        <f t="shared" si="52"/>
        <v>1.3936369214206934</v>
      </c>
      <c r="I686">
        <f t="shared" si="53"/>
        <v>0.86251930042635649</v>
      </c>
      <c r="J686">
        <f t="shared" si="54"/>
        <v>1.0984740583808161</v>
      </c>
      <c r="K686">
        <f t="shared" si="55"/>
        <v>1.398757376591675</v>
      </c>
      <c r="L686" s="33">
        <f t="shared" si="56"/>
        <v>4.753387656819541</v>
      </c>
    </row>
    <row r="687" spans="3:12" x14ac:dyDescent="0.3">
      <c r="C687">
        <v>79.437191036122385</v>
      </c>
      <c r="D687">
        <v>71.1181646186742</v>
      </c>
      <c r="E687">
        <v>88.490011421381496</v>
      </c>
      <c r="F687">
        <v>132.17210981645621</v>
      </c>
      <c r="H687" s="33">
        <f t="shared" si="52"/>
        <v>1.1256179277552292</v>
      </c>
      <c r="I687">
        <f t="shared" si="53"/>
        <v>22.363292373484001</v>
      </c>
      <c r="J687">
        <f t="shared" si="54"/>
        <v>3.0199771572370082</v>
      </c>
      <c r="K687">
        <f t="shared" si="55"/>
        <v>43.442196329124272</v>
      </c>
      <c r="L687" s="33">
        <f t="shared" si="56"/>
        <v>69.95108378760051</v>
      </c>
    </row>
    <row r="688" spans="3:12" x14ac:dyDescent="0.3">
      <c r="C688">
        <v>81.190855982713401</v>
      </c>
      <c r="D688">
        <v>69.01915771260974</v>
      </c>
      <c r="E688">
        <v>90.194570475287037</v>
      </c>
      <c r="F688">
        <v>128.98556097832625</v>
      </c>
      <c r="H688" s="33">
        <f t="shared" si="52"/>
        <v>23.817119654268026</v>
      </c>
      <c r="I688">
        <f t="shared" si="53"/>
        <v>1.9616845747805201</v>
      </c>
      <c r="J688">
        <f t="shared" si="54"/>
        <v>3.8914095057407394</v>
      </c>
      <c r="K688">
        <f t="shared" si="55"/>
        <v>2.028878043347504</v>
      </c>
      <c r="L688" s="33">
        <f t="shared" si="56"/>
        <v>31.69909177813679</v>
      </c>
    </row>
    <row r="689" spans="3:12" x14ac:dyDescent="0.3">
      <c r="C689">
        <v>80.122820438264171</v>
      </c>
      <c r="D689">
        <v>69.727981503383489</v>
      </c>
      <c r="E689">
        <v>91.849866748671047</v>
      </c>
      <c r="F689">
        <v>128.39624251762871</v>
      </c>
      <c r="H689" s="33">
        <f t="shared" si="52"/>
        <v>2.4564087652834132</v>
      </c>
      <c r="I689">
        <f t="shared" si="53"/>
        <v>0.54403699323302135</v>
      </c>
      <c r="J689">
        <f t="shared" si="54"/>
        <v>36.997334973420948</v>
      </c>
      <c r="K689">
        <f t="shared" si="55"/>
        <v>3.207514964742586</v>
      </c>
      <c r="L689" s="33">
        <f t="shared" si="56"/>
        <v>43.205295696679968</v>
      </c>
    </row>
    <row r="690" spans="3:12" x14ac:dyDescent="0.3">
      <c r="C690">
        <v>80.747863850847352</v>
      </c>
      <c r="D690">
        <v>69.77822426444618</v>
      </c>
      <c r="E690">
        <v>89.286012553056935</v>
      </c>
      <c r="F690">
        <v>130.06027903509676</v>
      </c>
      <c r="H690" s="33">
        <f t="shared" si="52"/>
        <v>14.957277016947046</v>
      </c>
      <c r="I690">
        <f t="shared" si="53"/>
        <v>0.44355147110763937</v>
      </c>
      <c r="J690">
        <f t="shared" si="54"/>
        <v>1.4279748938861303</v>
      </c>
      <c r="K690">
        <f t="shared" si="55"/>
        <v>1.205580701935105</v>
      </c>
      <c r="L690" s="33">
        <f t="shared" si="56"/>
        <v>18.034384083875921</v>
      </c>
    </row>
    <row r="691" spans="3:12" x14ac:dyDescent="0.3">
      <c r="C691">
        <v>79.090196070028469</v>
      </c>
      <c r="D691">
        <v>70.185768840310629</v>
      </c>
      <c r="E691">
        <v>91.625444383535068</v>
      </c>
      <c r="F691">
        <v>131.44180376082659</v>
      </c>
      <c r="H691" s="33">
        <f t="shared" si="52"/>
        <v>1.8196078599430621</v>
      </c>
      <c r="I691">
        <f t="shared" si="53"/>
        <v>3.7153768062125891</v>
      </c>
      <c r="J691">
        <f t="shared" si="54"/>
        <v>32.50888767070137</v>
      </c>
      <c r="K691">
        <f t="shared" si="55"/>
        <v>28.836075216531754</v>
      </c>
      <c r="L691" s="33">
        <f t="shared" si="56"/>
        <v>66.879947553388774</v>
      </c>
    </row>
    <row r="692" spans="3:12" x14ac:dyDescent="0.3">
      <c r="C692">
        <v>82.132564986823127</v>
      </c>
      <c r="D692">
        <v>71.283240180782741</v>
      </c>
      <c r="E692">
        <v>89.234516963042552</v>
      </c>
      <c r="F692">
        <v>131.05748085843516</v>
      </c>
      <c r="H692" s="33">
        <f t="shared" si="52"/>
        <v>42.651299736462533</v>
      </c>
      <c r="I692">
        <f t="shared" si="53"/>
        <v>25.664803615654819</v>
      </c>
      <c r="J692">
        <f t="shared" si="54"/>
        <v>1.5309660739148967</v>
      </c>
      <c r="K692">
        <f t="shared" si="55"/>
        <v>21.149617168703116</v>
      </c>
      <c r="L692" s="33">
        <f t="shared" si="56"/>
        <v>90.996686594735365</v>
      </c>
    </row>
    <row r="693" spans="3:12" x14ac:dyDescent="0.3">
      <c r="C693">
        <v>79.105023107404122</v>
      </c>
      <c r="D693">
        <v>70.194414724319358</v>
      </c>
      <c r="E693">
        <v>90.81247890193481</v>
      </c>
      <c r="F693">
        <v>129.93527580954833</v>
      </c>
      <c r="H693" s="33">
        <f t="shared" si="52"/>
        <v>1.7899537851917557</v>
      </c>
      <c r="I693">
        <f t="shared" si="53"/>
        <v>3.8882944863871671</v>
      </c>
      <c r="J693">
        <f t="shared" si="54"/>
        <v>16.2495780386962</v>
      </c>
      <c r="K693">
        <f t="shared" si="55"/>
        <v>0.12944838090334088</v>
      </c>
      <c r="L693" s="33">
        <f t="shared" si="56"/>
        <v>22.057274691178463</v>
      </c>
    </row>
    <row r="694" spans="3:12" x14ac:dyDescent="0.3">
      <c r="C694">
        <v>79.072817900014343</v>
      </c>
      <c r="D694">
        <v>70.873712906468427</v>
      </c>
      <c r="E694">
        <v>90.217622755371849</v>
      </c>
      <c r="F694">
        <v>129.91978256730363</v>
      </c>
      <c r="H694" s="33">
        <f t="shared" si="52"/>
        <v>1.8543641999713145</v>
      </c>
      <c r="I694">
        <f t="shared" si="53"/>
        <v>17.474258129368536</v>
      </c>
      <c r="J694">
        <f t="shared" si="54"/>
        <v>4.3524551074369811</v>
      </c>
      <c r="K694">
        <f t="shared" si="55"/>
        <v>0.16043486539274454</v>
      </c>
      <c r="L694" s="33">
        <f t="shared" si="56"/>
        <v>23.841512302169576</v>
      </c>
    </row>
    <row r="695" spans="3:12" x14ac:dyDescent="0.3">
      <c r="C695">
        <v>80.376063553630956</v>
      </c>
      <c r="D695">
        <v>68.879975464660674</v>
      </c>
      <c r="E695">
        <v>88.982998477004003</v>
      </c>
      <c r="F695">
        <v>129.17156173978583</v>
      </c>
      <c r="H695" s="33">
        <f t="shared" si="52"/>
        <v>7.521271072619129</v>
      </c>
      <c r="I695">
        <f t="shared" si="53"/>
        <v>2.2400490706786513</v>
      </c>
      <c r="J695">
        <f t="shared" si="54"/>
        <v>2.0340030459919944</v>
      </c>
      <c r="K695">
        <f t="shared" si="55"/>
        <v>1.6568765204283409</v>
      </c>
      <c r="L695" s="33">
        <f t="shared" si="56"/>
        <v>13.452199709718116</v>
      </c>
    </row>
    <row r="696" spans="3:12" x14ac:dyDescent="0.3">
      <c r="C696">
        <v>80.517575244884938</v>
      </c>
      <c r="D696">
        <v>69.150020357774338</v>
      </c>
      <c r="E696">
        <v>90.544439444638556</v>
      </c>
      <c r="F696">
        <v>130.06595087143069</v>
      </c>
      <c r="H696" s="33">
        <f t="shared" si="52"/>
        <v>10.35150489769876</v>
      </c>
      <c r="I696">
        <f t="shared" si="53"/>
        <v>1.6999592844513245</v>
      </c>
      <c r="J696">
        <f t="shared" si="54"/>
        <v>10.888788892771117</v>
      </c>
      <c r="K696">
        <f t="shared" si="55"/>
        <v>1.3190174286137335</v>
      </c>
      <c r="L696" s="33">
        <f t="shared" si="56"/>
        <v>24.259270503534935</v>
      </c>
    </row>
    <row r="697" spans="3:12" x14ac:dyDescent="0.3">
      <c r="C697">
        <v>79.438086888403632</v>
      </c>
      <c r="D697">
        <v>68.897001205477864</v>
      </c>
      <c r="E697">
        <v>89.844814055904862</v>
      </c>
      <c r="F697">
        <v>129.81384235070436</v>
      </c>
      <c r="H697" s="33">
        <f t="shared" si="52"/>
        <v>1.1238262231927365</v>
      </c>
      <c r="I697">
        <f t="shared" si="53"/>
        <v>2.2059975890442729</v>
      </c>
      <c r="J697">
        <f t="shared" si="54"/>
        <v>0.31037188819027506</v>
      </c>
      <c r="K697">
        <f t="shared" si="55"/>
        <v>0.37231529859127477</v>
      </c>
      <c r="L697" s="33">
        <f t="shared" si="56"/>
        <v>4.0125109990185592</v>
      </c>
    </row>
    <row r="698" spans="3:12" x14ac:dyDescent="0.3">
      <c r="C698">
        <v>79.805818333697971</v>
      </c>
      <c r="D698">
        <v>70.526780468135257</v>
      </c>
      <c r="E698">
        <v>88.683645117125707</v>
      </c>
      <c r="F698">
        <v>129.33863364276476</v>
      </c>
      <c r="H698" s="33">
        <f t="shared" si="52"/>
        <v>0.38836333260405809</v>
      </c>
      <c r="I698">
        <f t="shared" si="53"/>
        <v>10.535609362705145</v>
      </c>
      <c r="J698">
        <f t="shared" si="54"/>
        <v>2.6327097657485865</v>
      </c>
      <c r="K698">
        <f t="shared" si="55"/>
        <v>1.3227327144704759</v>
      </c>
      <c r="L698" s="33">
        <f t="shared" si="56"/>
        <v>14.879415175528266</v>
      </c>
    </row>
    <row r="699" spans="3:12" x14ac:dyDescent="0.3">
      <c r="C699">
        <v>79.760311766294762</v>
      </c>
      <c r="D699">
        <v>67.678587533300743</v>
      </c>
      <c r="E699">
        <v>88.14545844856184</v>
      </c>
      <c r="F699">
        <v>129.46414618534618</v>
      </c>
      <c r="H699" s="33">
        <f t="shared" si="52"/>
        <v>0.47937646741047502</v>
      </c>
      <c r="I699">
        <f t="shared" si="53"/>
        <v>4.642824933398515</v>
      </c>
      <c r="J699">
        <f t="shared" si="54"/>
        <v>3.7090831028763205</v>
      </c>
      <c r="K699">
        <f t="shared" si="55"/>
        <v>1.0717076293076389</v>
      </c>
      <c r="L699" s="33">
        <f t="shared" si="56"/>
        <v>9.9029921329929493</v>
      </c>
    </row>
    <row r="700" spans="3:12" x14ac:dyDescent="0.3">
      <c r="C700">
        <v>79.948379354464123</v>
      </c>
      <c r="D700">
        <v>68.926323314663023</v>
      </c>
      <c r="E700">
        <v>90.35781567930826</v>
      </c>
      <c r="F700">
        <v>130.72638158599148</v>
      </c>
      <c r="H700" s="33">
        <f t="shared" si="52"/>
        <v>0.10324129107175395</v>
      </c>
      <c r="I700">
        <f t="shared" si="53"/>
        <v>2.1473533706739545</v>
      </c>
      <c r="J700">
        <f t="shared" si="54"/>
        <v>7.1563135861651972</v>
      </c>
      <c r="K700">
        <f t="shared" si="55"/>
        <v>14.527631719829515</v>
      </c>
      <c r="L700" s="33">
        <f t="shared" si="56"/>
        <v>23.93453996774042</v>
      </c>
    </row>
    <row r="701" spans="3:12" x14ac:dyDescent="0.3">
      <c r="C701">
        <v>78.83244981901953</v>
      </c>
      <c r="D701">
        <v>70.956385974859586</v>
      </c>
      <c r="E701">
        <v>90.367210759577574</v>
      </c>
      <c r="F701">
        <v>130.12197233445477</v>
      </c>
      <c r="H701" s="33">
        <f t="shared" si="52"/>
        <v>2.3351003619609401</v>
      </c>
      <c r="I701">
        <f t="shared" si="53"/>
        <v>19.12771949719172</v>
      </c>
      <c r="J701">
        <f t="shared" si="54"/>
        <v>7.3442151915514842</v>
      </c>
      <c r="K701">
        <f t="shared" si="55"/>
        <v>2.4394466890953481</v>
      </c>
      <c r="L701" s="33">
        <f t="shared" si="56"/>
        <v>31.246481739799492</v>
      </c>
    </row>
    <row r="702" spans="3:12" x14ac:dyDescent="0.3">
      <c r="C702">
        <v>79.532604988417006</v>
      </c>
      <c r="D702">
        <v>69.262417986756191</v>
      </c>
      <c r="E702">
        <v>89.686938281229232</v>
      </c>
      <c r="F702">
        <v>129.09642838247237</v>
      </c>
      <c r="H702" s="33">
        <f t="shared" si="52"/>
        <v>0.9347900231659878</v>
      </c>
      <c r="I702">
        <f t="shared" si="53"/>
        <v>1.4751640264876187</v>
      </c>
      <c r="J702">
        <f t="shared" si="54"/>
        <v>0.62612343754153699</v>
      </c>
      <c r="K702">
        <f t="shared" si="55"/>
        <v>1.8071432350552641</v>
      </c>
      <c r="L702" s="33">
        <f t="shared" si="56"/>
        <v>4.8432207222504076</v>
      </c>
    </row>
    <row r="703" spans="3:12" x14ac:dyDescent="0.3">
      <c r="C703">
        <v>80.509371602674946</v>
      </c>
      <c r="D703">
        <v>72.074575604638085</v>
      </c>
      <c r="E703">
        <v>90.719725221642875</v>
      </c>
      <c r="F703">
        <v>128.982100350986</v>
      </c>
      <c r="H703" s="33">
        <f t="shared" si="52"/>
        <v>10.187432053498924</v>
      </c>
      <c r="I703">
        <f t="shared" si="53"/>
        <v>41.491512092761695</v>
      </c>
      <c r="J703">
        <f t="shared" si="54"/>
        <v>14.394504432857502</v>
      </c>
      <c r="K703">
        <f t="shared" si="55"/>
        <v>2.035799298027996</v>
      </c>
      <c r="L703" s="33">
        <f t="shared" si="56"/>
        <v>68.109247877146117</v>
      </c>
    </row>
    <row r="704" spans="3:12" x14ac:dyDescent="0.3">
      <c r="C704">
        <v>78.843868525000289</v>
      </c>
      <c r="D704">
        <v>69.5482482972875</v>
      </c>
      <c r="E704">
        <v>91.1360680218786</v>
      </c>
      <c r="F704">
        <v>130.40213876673079</v>
      </c>
      <c r="H704" s="33">
        <f t="shared" si="52"/>
        <v>2.3122629499994218</v>
      </c>
      <c r="I704">
        <f t="shared" si="53"/>
        <v>0.90350340542499907</v>
      </c>
      <c r="J704">
        <f t="shared" si="54"/>
        <v>22.721360437572002</v>
      </c>
      <c r="K704">
        <f t="shared" si="55"/>
        <v>8.042775334615726</v>
      </c>
      <c r="L704" s="33">
        <f t="shared" si="56"/>
        <v>33.979902127612149</v>
      </c>
    </row>
    <row r="705" spans="3:12" x14ac:dyDescent="0.3">
      <c r="C705">
        <v>79.430815478262957</v>
      </c>
      <c r="D705">
        <v>70.416946477344027</v>
      </c>
      <c r="E705">
        <v>88.908454017509939</v>
      </c>
      <c r="F705">
        <v>129.42414660836221</v>
      </c>
      <c r="H705" s="33">
        <f t="shared" si="52"/>
        <v>1.1383690434740856</v>
      </c>
      <c r="I705">
        <f t="shared" si="53"/>
        <v>8.3389295468805358</v>
      </c>
      <c r="J705">
        <f t="shared" si="54"/>
        <v>2.1830919649801217</v>
      </c>
      <c r="K705">
        <f t="shared" si="55"/>
        <v>1.1517067832755856</v>
      </c>
      <c r="L705" s="33">
        <f t="shared" si="56"/>
        <v>12.812097338610329</v>
      </c>
    </row>
    <row r="706" spans="3:12" x14ac:dyDescent="0.3">
      <c r="C706">
        <v>80.351461721947999</v>
      </c>
      <c r="D706">
        <v>70.162312971951906</v>
      </c>
      <c r="E706">
        <v>91.203384272230323</v>
      </c>
      <c r="F706">
        <v>129.67752501106588</v>
      </c>
      <c r="H706" s="33">
        <f t="shared" si="52"/>
        <v>7.0292344389599748</v>
      </c>
      <c r="I706">
        <f t="shared" si="53"/>
        <v>3.2462594390381128</v>
      </c>
      <c r="J706">
        <f t="shared" si="54"/>
        <v>24.067685444606468</v>
      </c>
      <c r="K706">
        <f t="shared" si="55"/>
        <v>0.6449499778682366</v>
      </c>
      <c r="L706" s="33">
        <f t="shared" si="56"/>
        <v>34.988129300472792</v>
      </c>
    </row>
    <row r="707" spans="3:12" x14ac:dyDescent="0.3">
      <c r="C707">
        <v>78.202188180584926</v>
      </c>
      <c r="D707">
        <v>70.154179815581301</v>
      </c>
      <c r="E707">
        <v>90.180867800736451</v>
      </c>
      <c r="F707">
        <v>130.24543965082557</v>
      </c>
      <c r="H707" s="33">
        <f t="shared" si="52"/>
        <v>3.5956236388301477</v>
      </c>
      <c r="I707">
        <f t="shared" si="53"/>
        <v>3.0835963116260245</v>
      </c>
      <c r="J707">
        <f t="shared" si="54"/>
        <v>3.6173560147290118</v>
      </c>
      <c r="K707">
        <f t="shared" si="55"/>
        <v>4.9087930165114813</v>
      </c>
      <c r="L707" s="33">
        <f t="shared" si="56"/>
        <v>15.205368981696665</v>
      </c>
    </row>
    <row r="708" spans="3:12" x14ac:dyDescent="0.3">
      <c r="C708">
        <v>78.604844222427346</v>
      </c>
      <c r="D708">
        <v>70.368847850040765</v>
      </c>
      <c r="E708">
        <v>90.076304331741994</v>
      </c>
      <c r="F708">
        <v>130.57892520999303</v>
      </c>
      <c r="H708" s="33">
        <f t="shared" si="52"/>
        <v>2.7903115551453084</v>
      </c>
      <c r="I708">
        <f t="shared" si="53"/>
        <v>7.3769570008153096</v>
      </c>
      <c r="J708">
        <f t="shared" si="54"/>
        <v>1.5260866348398849</v>
      </c>
      <c r="K708">
        <f t="shared" si="55"/>
        <v>11.578504199860618</v>
      </c>
      <c r="L708" s="33">
        <f t="shared" si="56"/>
        <v>23.27185939066112</v>
      </c>
    </row>
    <row r="709" spans="3:12" x14ac:dyDescent="0.3">
      <c r="C709">
        <v>81.185740075015929</v>
      </c>
      <c r="D709">
        <v>68.774869709450286</v>
      </c>
      <c r="E709">
        <v>90.462878233520314</v>
      </c>
      <c r="F709">
        <v>130.33046262615244</v>
      </c>
      <c r="H709" s="33">
        <f t="shared" si="52"/>
        <v>23.714801500318572</v>
      </c>
      <c r="I709">
        <f t="shared" si="53"/>
        <v>2.4502605810994282</v>
      </c>
      <c r="J709">
        <f t="shared" si="54"/>
        <v>9.2575646704062819</v>
      </c>
      <c r="K709">
        <f t="shared" si="55"/>
        <v>6.6092525230487809</v>
      </c>
      <c r="L709" s="33">
        <f t="shared" si="56"/>
        <v>42.031879274873063</v>
      </c>
    </row>
    <row r="710" spans="3:12" x14ac:dyDescent="0.3">
      <c r="C710">
        <v>79.103995378391119</v>
      </c>
      <c r="D710">
        <v>69.384684770120657</v>
      </c>
      <c r="E710">
        <v>89.839469637663569</v>
      </c>
      <c r="F710">
        <v>130.28816998565162</v>
      </c>
      <c r="H710" s="33">
        <f t="shared" si="52"/>
        <v>1.7920092432177626</v>
      </c>
      <c r="I710">
        <f t="shared" si="53"/>
        <v>1.2306304597586859</v>
      </c>
      <c r="J710">
        <f t="shared" si="54"/>
        <v>0.3210607246728614</v>
      </c>
      <c r="K710">
        <f t="shared" si="55"/>
        <v>5.7633997130324133</v>
      </c>
      <c r="L710" s="33">
        <f t="shared" si="56"/>
        <v>9.1071001406817231</v>
      </c>
    </row>
    <row r="711" spans="3:12" x14ac:dyDescent="0.3">
      <c r="C711">
        <v>78.805405994062312</v>
      </c>
      <c r="D711">
        <v>70.040211034502136</v>
      </c>
      <c r="E711">
        <v>89.290150753950002</v>
      </c>
      <c r="F711">
        <v>129.69327973303734</v>
      </c>
      <c r="H711" s="33">
        <f t="shared" si="52"/>
        <v>2.3891880118753761</v>
      </c>
      <c r="I711">
        <f t="shared" si="53"/>
        <v>0.80422069004271179</v>
      </c>
      <c r="J711">
        <f t="shared" si="54"/>
        <v>1.4196984920999967</v>
      </c>
      <c r="K711">
        <f t="shared" si="55"/>
        <v>0.6134405339253135</v>
      </c>
      <c r="L711" s="33">
        <f t="shared" si="56"/>
        <v>5.2265477279433981</v>
      </c>
    </row>
    <row r="712" spans="3:12" x14ac:dyDescent="0.3">
      <c r="C712">
        <v>79.847136677999515</v>
      </c>
      <c r="D712">
        <v>71.345283635600936</v>
      </c>
      <c r="E712">
        <v>88.427297214220744</v>
      </c>
      <c r="F712">
        <v>130.94389179139398</v>
      </c>
      <c r="H712" s="33">
        <f t="shared" si="52"/>
        <v>0.30572664400096983</v>
      </c>
      <c r="I712">
        <f t="shared" si="53"/>
        <v>26.905672712018713</v>
      </c>
      <c r="J712">
        <f t="shared" si="54"/>
        <v>3.1454055715585127</v>
      </c>
      <c r="K712">
        <f t="shared" si="55"/>
        <v>18.877835827879608</v>
      </c>
      <c r="L712" s="33">
        <f t="shared" si="56"/>
        <v>49.234640755457804</v>
      </c>
    </row>
    <row r="713" spans="3:12" x14ac:dyDescent="0.3">
      <c r="C713">
        <v>80.561285560252145</v>
      </c>
      <c r="D713">
        <v>71.295888978347648</v>
      </c>
      <c r="E713">
        <v>88.359171513584442</v>
      </c>
      <c r="F713">
        <v>128.30636625119951</v>
      </c>
      <c r="H713" s="33">
        <f t="shared" si="52"/>
        <v>11.225711205042899</v>
      </c>
      <c r="I713">
        <f t="shared" si="53"/>
        <v>25.917779566952959</v>
      </c>
      <c r="J713">
        <f t="shared" si="54"/>
        <v>3.2816569728311151</v>
      </c>
      <c r="K713">
        <f t="shared" si="55"/>
        <v>3.3872674976009876</v>
      </c>
      <c r="L713" s="33">
        <f t="shared" si="56"/>
        <v>43.81241524242796</v>
      </c>
    </row>
    <row r="714" spans="3:12" x14ac:dyDescent="0.3">
      <c r="C714">
        <v>81.227399479830638</v>
      </c>
      <c r="D714">
        <v>68.985688307584496</v>
      </c>
      <c r="E714">
        <v>90.966342668107245</v>
      </c>
      <c r="F714">
        <v>130.86600721260766</v>
      </c>
      <c r="H714" s="33">
        <f t="shared" si="52"/>
        <v>24.547989596612751</v>
      </c>
      <c r="I714">
        <f t="shared" si="53"/>
        <v>2.0286233848310076</v>
      </c>
      <c r="J714">
        <f t="shared" si="54"/>
        <v>19.326853362144902</v>
      </c>
      <c r="K714">
        <f t="shared" si="55"/>
        <v>17.320144252153113</v>
      </c>
      <c r="L714" s="33">
        <f t="shared" si="56"/>
        <v>63.223610595741775</v>
      </c>
    </row>
    <row r="715" spans="3:12" x14ac:dyDescent="0.3">
      <c r="C715">
        <v>80.484874362882692</v>
      </c>
      <c r="D715">
        <v>71.615771907381713</v>
      </c>
      <c r="E715">
        <v>89.688706111555803</v>
      </c>
      <c r="F715">
        <v>129.94929794411291</v>
      </c>
      <c r="H715" s="33">
        <f t="shared" si="52"/>
        <v>9.6974872576538473</v>
      </c>
      <c r="I715">
        <f t="shared" si="53"/>
        <v>32.315438147634268</v>
      </c>
      <c r="J715">
        <f t="shared" si="54"/>
        <v>0.62258777688839473</v>
      </c>
      <c r="K715">
        <f t="shared" si="55"/>
        <v>0.10140411177417263</v>
      </c>
      <c r="L715" s="33">
        <f t="shared" si="56"/>
        <v>42.736917293950683</v>
      </c>
    </row>
    <row r="716" spans="3:12" x14ac:dyDescent="0.3">
      <c r="C716">
        <v>81.027710823109373</v>
      </c>
      <c r="D716">
        <v>70.583997916692169</v>
      </c>
      <c r="E716">
        <v>88.312750904005952</v>
      </c>
      <c r="F716">
        <v>129.94899212651944</v>
      </c>
      <c r="H716" s="33">
        <f t="shared" si="52"/>
        <v>20.554216462187469</v>
      </c>
      <c r="I716">
        <f t="shared" si="53"/>
        <v>11.679958333843388</v>
      </c>
      <c r="J716">
        <f t="shared" si="54"/>
        <v>3.3744981919880956</v>
      </c>
      <c r="K716">
        <f t="shared" si="55"/>
        <v>0.10201574696111493</v>
      </c>
      <c r="L716" s="33">
        <f t="shared" si="56"/>
        <v>35.710688734980067</v>
      </c>
    </row>
    <row r="717" spans="3:12" x14ac:dyDescent="0.3">
      <c r="C717">
        <v>80.277659637504257</v>
      </c>
      <c r="D717">
        <v>68.438265720324125</v>
      </c>
      <c r="E717">
        <v>90.510851805302082</v>
      </c>
      <c r="F717">
        <v>129.31599631963763</v>
      </c>
      <c r="H717" s="33">
        <f t="shared" si="52"/>
        <v>5.5531927500851452</v>
      </c>
      <c r="I717">
        <f t="shared" si="53"/>
        <v>3.1234685593517497</v>
      </c>
      <c r="J717">
        <f t="shared" si="54"/>
        <v>10.217036106041633</v>
      </c>
      <c r="K717">
        <f t="shared" si="55"/>
        <v>1.3680073607247323</v>
      </c>
      <c r="L717" s="33">
        <f t="shared" si="56"/>
        <v>20.26170477620326</v>
      </c>
    </row>
    <row r="718" spans="3:12" x14ac:dyDescent="0.3">
      <c r="C718">
        <v>79.737574398750439</v>
      </c>
      <c r="D718">
        <v>69.32582340989029</v>
      </c>
      <c r="E718">
        <v>90.269558313448215</v>
      </c>
      <c r="F718">
        <v>130.44768853513233</v>
      </c>
      <c r="H718" s="33">
        <f t="shared" si="52"/>
        <v>0.52485120249912143</v>
      </c>
      <c r="I718">
        <f t="shared" si="53"/>
        <v>1.3483531802194193</v>
      </c>
      <c r="J718">
        <f t="shared" si="54"/>
        <v>5.3911662689642981</v>
      </c>
      <c r="K718">
        <f t="shared" si="55"/>
        <v>8.9537707026465796</v>
      </c>
      <c r="L718" s="33">
        <f t="shared" si="56"/>
        <v>16.218141354329418</v>
      </c>
    </row>
    <row r="719" spans="3:12" x14ac:dyDescent="0.3">
      <c r="C719">
        <v>81.199448433908401</v>
      </c>
      <c r="D719">
        <v>66.436526998877525</v>
      </c>
      <c r="E719">
        <v>89.575866240775213</v>
      </c>
      <c r="F719">
        <v>130.32005800676416</v>
      </c>
      <c r="H719" s="33">
        <f t="shared" si="52"/>
        <v>23.988968678168021</v>
      </c>
      <c r="I719">
        <f t="shared" si="53"/>
        <v>7.1269460022449493</v>
      </c>
      <c r="J719">
        <f t="shared" si="54"/>
        <v>0.84826751844957471</v>
      </c>
      <c r="K719">
        <f t="shared" si="55"/>
        <v>6.4011601352831349</v>
      </c>
      <c r="L719" s="33">
        <f t="shared" si="56"/>
        <v>38.36534233414568</v>
      </c>
    </row>
    <row r="720" spans="3:12" x14ac:dyDescent="0.3">
      <c r="C720">
        <v>79.080316683830461</v>
      </c>
      <c r="D720">
        <v>69.866458892938681</v>
      </c>
      <c r="E720">
        <v>88.91205561652896</v>
      </c>
      <c r="F720">
        <v>129.57670297590084</v>
      </c>
      <c r="H720" s="33">
        <f t="shared" si="52"/>
        <v>1.8393666323390789</v>
      </c>
      <c r="I720">
        <f t="shared" si="53"/>
        <v>0.26708221412263811</v>
      </c>
      <c r="J720">
        <f t="shared" si="54"/>
        <v>2.1758887669420801</v>
      </c>
      <c r="K720">
        <f t="shared" si="55"/>
        <v>0.84659404819831252</v>
      </c>
      <c r="L720" s="33">
        <f t="shared" si="56"/>
        <v>5.1289316616021097</v>
      </c>
    </row>
    <row r="721" spans="3:12" x14ac:dyDescent="0.3">
      <c r="C721">
        <v>80.241420821112115</v>
      </c>
      <c r="D721">
        <v>70.048710262490204</v>
      </c>
      <c r="E721">
        <v>88.835169208177831</v>
      </c>
      <c r="F721">
        <v>129.22958522802219</v>
      </c>
      <c r="H721" s="33">
        <f t="shared" si="52"/>
        <v>4.8284164222422987</v>
      </c>
      <c r="I721">
        <f t="shared" si="53"/>
        <v>0.97420524980407208</v>
      </c>
      <c r="J721">
        <f t="shared" si="54"/>
        <v>2.329661583644338</v>
      </c>
      <c r="K721">
        <f t="shared" si="55"/>
        <v>1.5408295439556241</v>
      </c>
      <c r="L721" s="33">
        <f t="shared" si="56"/>
        <v>9.6731127996463329</v>
      </c>
    </row>
    <row r="722" spans="3:12" x14ac:dyDescent="0.3">
      <c r="C722">
        <v>79.236872554320144</v>
      </c>
      <c r="D722">
        <v>68.390962900884915</v>
      </c>
      <c r="E722">
        <v>89.752194526081439</v>
      </c>
      <c r="F722">
        <v>131.04802893474698</v>
      </c>
      <c r="H722" s="33">
        <f t="shared" si="52"/>
        <v>1.5262548913597129</v>
      </c>
      <c r="I722">
        <f t="shared" si="53"/>
        <v>3.2180741982301697</v>
      </c>
      <c r="J722">
        <f t="shared" si="54"/>
        <v>0.49561094783712178</v>
      </c>
      <c r="K722">
        <f t="shared" si="55"/>
        <v>20.960578694939613</v>
      </c>
      <c r="L722" s="33">
        <f t="shared" si="56"/>
        <v>26.200518732366618</v>
      </c>
    </row>
    <row r="723" spans="3:12" x14ac:dyDescent="0.3">
      <c r="C723">
        <v>81.233925104315858</v>
      </c>
      <c r="D723">
        <v>70.599217173657962</v>
      </c>
      <c r="E723">
        <v>88.96656618147972</v>
      </c>
      <c r="F723">
        <v>130.25048848328879</v>
      </c>
      <c r="H723" s="33">
        <f t="shared" si="52"/>
        <v>24.678502086317167</v>
      </c>
      <c r="I723">
        <f t="shared" si="53"/>
        <v>11.984343473159242</v>
      </c>
      <c r="J723">
        <f t="shared" si="54"/>
        <v>2.0668676370405592</v>
      </c>
      <c r="K723">
        <f t="shared" si="55"/>
        <v>5.0097696657758206</v>
      </c>
      <c r="L723" s="33">
        <f t="shared" si="56"/>
        <v>43.739482862292789</v>
      </c>
    </row>
    <row r="724" spans="3:12" x14ac:dyDescent="0.3">
      <c r="C724">
        <v>79.121910150279291</v>
      </c>
      <c r="D724">
        <v>70.81898861026275</v>
      </c>
      <c r="E724">
        <v>90.807910964795155</v>
      </c>
      <c r="F724">
        <v>129.83326688379748</v>
      </c>
      <c r="H724" s="33">
        <f t="shared" si="52"/>
        <v>1.7561796994414181</v>
      </c>
      <c r="I724">
        <f t="shared" si="53"/>
        <v>16.379772205254994</v>
      </c>
      <c r="J724">
        <f t="shared" si="54"/>
        <v>16.158219295903109</v>
      </c>
      <c r="K724">
        <f t="shared" si="55"/>
        <v>0.33346623240504414</v>
      </c>
      <c r="L724" s="33">
        <f t="shared" si="56"/>
        <v>34.627637433004566</v>
      </c>
    </row>
    <row r="725" spans="3:12" x14ac:dyDescent="0.3">
      <c r="C725">
        <v>77.70387148601003</v>
      </c>
      <c r="D725">
        <v>68.809144017286599</v>
      </c>
      <c r="E725">
        <v>90.704446847521467</v>
      </c>
      <c r="F725">
        <v>129.17296236162656</v>
      </c>
      <c r="H725" s="33">
        <f t="shared" si="52"/>
        <v>4.5922570279799402</v>
      </c>
      <c r="I725">
        <f t="shared" si="53"/>
        <v>2.3817119654268026</v>
      </c>
      <c r="J725">
        <f t="shared" si="54"/>
        <v>14.088936950429343</v>
      </c>
      <c r="K725">
        <f t="shared" si="55"/>
        <v>1.6540752767468803</v>
      </c>
      <c r="L725" s="33">
        <f t="shared" si="56"/>
        <v>22.716981220582966</v>
      </c>
    </row>
    <row r="726" spans="3:12" x14ac:dyDescent="0.3">
      <c r="C726">
        <v>77.54838427179493</v>
      </c>
      <c r="D726">
        <v>70.623563209956046</v>
      </c>
      <c r="E726">
        <v>88.398729985638056</v>
      </c>
      <c r="F726">
        <v>128.60261141293449</v>
      </c>
      <c r="H726" s="33">
        <f t="shared" si="52"/>
        <v>4.9032314564101398</v>
      </c>
      <c r="I726">
        <f t="shared" si="53"/>
        <v>12.471264199120924</v>
      </c>
      <c r="J726">
        <f t="shared" si="54"/>
        <v>3.2025400287238881</v>
      </c>
      <c r="K726">
        <f t="shared" si="55"/>
        <v>2.7947771741310135</v>
      </c>
      <c r="L726" s="33">
        <f t="shared" si="56"/>
        <v>23.371812858385965</v>
      </c>
    </row>
    <row r="727" spans="3:12" x14ac:dyDescent="0.3">
      <c r="C727">
        <v>79.517361857215292</v>
      </c>
      <c r="D727">
        <v>68.803059497731738</v>
      </c>
      <c r="E727">
        <v>89.90488390722021</v>
      </c>
      <c r="F727">
        <v>129.60481886773778</v>
      </c>
      <c r="H727" s="33">
        <f t="shared" ref="H727:H790" si="57">IF(C727&gt;$C$19,(C727-$C$19)*$I$11,($C$19-C727)*$H$11)</f>
        <v>0.96527628556941636</v>
      </c>
      <c r="I727">
        <f t="shared" ref="I727:I790" si="58">IF(D727&gt;$D$19,(D727-$D$19)*$I$11,($D$19-D727)*$H$11)</f>
        <v>2.3938810045365244</v>
      </c>
      <c r="J727">
        <f t="shared" ref="J727:J790" si="59">IF(E727&gt;$E$19,(E727-$E$19)*$I$11,($E$19-E727)*$H$11)</f>
        <v>0.1902321855595801</v>
      </c>
      <c r="K727">
        <f t="shared" ref="K727:K790" si="60">IF(F727&gt;$F$19,(F727-$F$19)*$I$11,($F$19-F727)*$H$11)</f>
        <v>0.7903622645244468</v>
      </c>
      <c r="L727" s="33">
        <f t="shared" ref="L727:L790" si="61">SUM(H727:K727)</f>
        <v>4.3397517401899677</v>
      </c>
    </row>
    <row r="728" spans="3:12" x14ac:dyDescent="0.3">
      <c r="C728">
        <v>82.115057213813998</v>
      </c>
      <c r="D728">
        <v>70.833515514386818</v>
      </c>
      <c r="E728">
        <v>89.007707174314419</v>
      </c>
      <c r="F728">
        <v>132.06351614906453</v>
      </c>
      <c r="H728" s="33">
        <f t="shared" si="57"/>
        <v>42.301144276279956</v>
      </c>
      <c r="I728">
        <f t="shared" si="58"/>
        <v>16.670310287736356</v>
      </c>
      <c r="J728">
        <f t="shared" si="59"/>
        <v>1.9845856513711624</v>
      </c>
      <c r="K728">
        <f t="shared" si="60"/>
        <v>41.270322981290519</v>
      </c>
      <c r="L728" s="33">
        <f t="shared" si="61"/>
        <v>102.22636319667799</v>
      </c>
    </row>
    <row r="729" spans="3:12" x14ac:dyDescent="0.3">
      <c r="C729">
        <v>79.375879724539118</v>
      </c>
      <c r="D729">
        <v>69.127630871953443</v>
      </c>
      <c r="E729">
        <v>89.752036501377006</v>
      </c>
      <c r="F729">
        <v>131.49883817357477</v>
      </c>
      <c r="H729" s="33">
        <f t="shared" si="57"/>
        <v>1.2482405509217642</v>
      </c>
      <c r="I729">
        <f t="shared" si="58"/>
        <v>1.7447382560931146</v>
      </c>
      <c r="J729">
        <f t="shared" si="59"/>
        <v>0.49592699724598788</v>
      </c>
      <c r="K729">
        <f t="shared" si="60"/>
        <v>29.97676347149536</v>
      </c>
      <c r="L729" s="33">
        <f t="shared" si="61"/>
        <v>33.465669275756227</v>
      </c>
    </row>
    <row r="730" spans="3:12" x14ac:dyDescent="0.3">
      <c r="C730">
        <v>81.137382241722662</v>
      </c>
      <c r="D730">
        <v>69.783942712383578</v>
      </c>
      <c r="E730">
        <v>91.124476511904504</v>
      </c>
      <c r="F730">
        <v>130.19878257262462</v>
      </c>
      <c r="H730" s="33">
        <f t="shared" si="57"/>
        <v>22.74764483445324</v>
      </c>
      <c r="I730">
        <f t="shared" si="58"/>
        <v>0.4321145752328448</v>
      </c>
      <c r="J730">
        <f t="shared" si="59"/>
        <v>22.489530238090083</v>
      </c>
      <c r="K730">
        <f t="shared" si="60"/>
        <v>3.9756514524924569</v>
      </c>
      <c r="L730" s="33">
        <f t="shared" si="61"/>
        <v>49.644941100268625</v>
      </c>
    </row>
    <row r="731" spans="3:12" x14ac:dyDescent="0.3">
      <c r="C731">
        <v>79.245137587422505</v>
      </c>
      <c r="D731">
        <v>71.081468781194417</v>
      </c>
      <c r="E731">
        <v>90.78209950515884</v>
      </c>
      <c r="F731">
        <v>129.81742121235584</v>
      </c>
      <c r="H731" s="33">
        <f t="shared" si="57"/>
        <v>1.50972482515499</v>
      </c>
      <c r="I731">
        <f t="shared" si="58"/>
        <v>21.629375623888336</v>
      </c>
      <c r="J731">
        <f t="shared" si="59"/>
        <v>15.641990103176795</v>
      </c>
      <c r="K731">
        <f t="shared" si="60"/>
        <v>0.36515757528832182</v>
      </c>
      <c r="L731" s="33">
        <f t="shared" si="61"/>
        <v>39.146248127508443</v>
      </c>
    </row>
    <row r="732" spans="3:12" x14ac:dyDescent="0.3">
      <c r="C732">
        <v>80.080601694207871</v>
      </c>
      <c r="D732">
        <v>70.513643954036525</v>
      </c>
      <c r="E732">
        <v>91.400439941789955</v>
      </c>
      <c r="F732">
        <v>128.89136233832687</v>
      </c>
      <c r="H732" s="33">
        <f t="shared" si="57"/>
        <v>1.6120338841574267</v>
      </c>
      <c r="I732">
        <f t="shared" si="58"/>
        <v>10.27287908073049</v>
      </c>
      <c r="J732">
        <f t="shared" si="59"/>
        <v>28.008798835799098</v>
      </c>
      <c r="K732">
        <f t="shared" si="60"/>
        <v>2.2172753233462572</v>
      </c>
      <c r="L732" s="33">
        <f t="shared" si="61"/>
        <v>42.110987124033272</v>
      </c>
    </row>
    <row r="733" spans="3:12" x14ac:dyDescent="0.3">
      <c r="C733">
        <v>79.692638539272593</v>
      </c>
      <c r="D733">
        <v>70.297592350761988</v>
      </c>
      <c r="E733">
        <v>91.339446953352308</v>
      </c>
      <c r="F733">
        <v>131.43706074595684</v>
      </c>
      <c r="H733" s="33">
        <f t="shared" si="57"/>
        <v>0.61472292145481333</v>
      </c>
      <c r="I733">
        <f t="shared" si="58"/>
        <v>5.951847015239764</v>
      </c>
      <c r="J733">
        <f t="shared" si="59"/>
        <v>26.788939067046158</v>
      </c>
      <c r="K733">
        <f t="shared" si="60"/>
        <v>28.741214919136837</v>
      </c>
      <c r="L733" s="33">
        <f t="shared" si="61"/>
        <v>62.096723922877572</v>
      </c>
    </row>
    <row r="734" spans="3:12" x14ac:dyDescent="0.3">
      <c r="C734">
        <v>79.848142806513351</v>
      </c>
      <c r="D734">
        <v>69.235540144582046</v>
      </c>
      <c r="E734">
        <v>88.975786184018943</v>
      </c>
      <c r="F734">
        <v>129.53516407913412</v>
      </c>
      <c r="H734" s="33">
        <f t="shared" si="57"/>
        <v>0.30371438697329722</v>
      </c>
      <c r="I734">
        <f t="shared" si="58"/>
        <v>1.5289197108359076</v>
      </c>
      <c r="J734">
        <f t="shared" si="59"/>
        <v>2.0484276319621131</v>
      </c>
      <c r="K734">
        <f t="shared" si="60"/>
        <v>0.92967184173176065</v>
      </c>
      <c r="L734" s="33">
        <f t="shared" si="61"/>
        <v>4.8107335715030786</v>
      </c>
    </row>
    <row r="735" spans="3:12" x14ac:dyDescent="0.3">
      <c r="C735">
        <v>79.279184521583375</v>
      </c>
      <c r="D735">
        <v>71.003620582196163</v>
      </c>
      <c r="E735">
        <v>88.240145941963419</v>
      </c>
      <c r="F735">
        <v>130.96414851213922</v>
      </c>
      <c r="H735" s="33">
        <f t="shared" si="57"/>
        <v>1.4416309568332508</v>
      </c>
      <c r="I735">
        <f t="shared" si="58"/>
        <v>20.07241164392326</v>
      </c>
      <c r="J735">
        <f t="shared" si="59"/>
        <v>3.5197081160731614</v>
      </c>
      <c r="K735">
        <f t="shared" si="60"/>
        <v>19.282970242784359</v>
      </c>
      <c r="L735" s="33">
        <f t="shared" si="61"/>
        <v>44.316720959614031</v>
      </c>
    </row>
    <row r="736" spans="3:12" x14ac:dyDescent="0.3">
      <c r="C736">
        <v>78.515127117570955</v>
      </c>
      <c r="D736">
        <v>70.149071865962469</v>
      </c>
      <c r="E736">
        <v>89.342531964430236</v>
      </c>
      <c r="F736">
        <v>130.45183696784079</v>
      </c>
      <c r="H736" s="33">
        <f t="shared" si="57"/>
        <v>2.9697457648580894</v>
      </c>
      <c r="I736">
        <f t="shared" si="58"/>
        <v>2.9814373192493804</v>
      </c>
      <c r="J736">
        <f t="shared" si="59"/>
        <v>1.3149360711395275</v>
      </c>
      <c r="K736">
        <f t="shared" si="60"/>
        <v>9.036739356815815</v>
      </c>
      <c r="L736" s="33">
        <f t="shared" si="61"/>
        <v>16.302858512062812</v>
      </c>
    </row>
    <row r="737" spans="3:12" x14ac:dyDescent="0.3">
      <c r="C737">
        <v>81.653002072998788</v>
      </c>
      <c r="D737">
        <v>70.06334403224173</v>
      </c>
      <c r="E737">
        <v>89.516415982725448</v>
      </c>
      <c r="F737">
        <v>128.63556240597973</v>
      </c>
      <c r="H737" s="33">
        <f t="shared" si="57"/>
        <v>33.060041459975764</v>
      </c>
      <c r="I737">
        <f t="shared" si="58"/>
        <v>1.2668806448346004</v>
      </c>
      <c r="J737">
        <f t="shared" si="59"/>
        <v>0.96716803454910405</v>
      </c>
      <c r="K737">
        <f t="shared" si="60"/>
        <v>2.7288751880405471</v>
      </c>
      <c r="L737" s="33">
        <f t="shared" si="61"/>
        <v>38.022965327400016</v>
      </c>
    </row>
    <row r="738" spans="3:12" x14ac:dyDescent="0.3">
      <c r="C738">
        <v>80.065338099375367</v>
      </c>
      <c r="D738">
        <v>69.274912170221796</v>
      </c>
      <c r="E738">
        <v>90.036842493500444</v>
      </c>
      <c r="F738">
        <v>129.58955299916852</v>
      </c>
      <c r="H738" s="33">
        <f t="shared" si="57"/>
        <v>1.3067619875073433</v>
      </c>
      <c r="I738">
        <f t="shared" si="58"/>
        <v>1.4501756595564075</v>
      </c>
      <c r="J738">
        <f t="shared" si="59"/>
        <v>0.73684987000888214</v>
      </c>
      <c r="K738">
        <f t="shared" si="60"/>
        <v>0.820894001662964</v>
      </c>
      <c r="L738" s="33">
        <f t="shared" si="61"/>
        <v>4.3146815187355969</v>
      </c>
    </row>
    <row r="739" spans="3:12" x14ac:dyDescent="0.3">
      <c r="C739">
        <v>80.091428091764101</v>
      </c>
      <c r="D739">
        <v>71.345852069789544</v>
      </c>
      <c r="E739">
        <v>90.78584434959339</v>
      </c>
      <c r="F739">
        <v>130.52300492825452</v>
      </c>
      <c r="H739" s="33">
        <f t="shared" si="57"/>
        <v>1.8285618352820165</v>
      </c>
      <c r="I739">
        <f t="shared" si="58"/>
        <v>26.917041395790875</v>
      </c>
      <c r="J739">
        <f t="shared" si="59"/>
        <v>15.716886991867796</v>
      </c>
      <c r="K739">
        <f t="shared" si="60"/>
        <v>10.460098565090448</v>
      </c>
      <c r="L739" s="33">
        <f t="shared" si="61"/>
        <v>54.922588788031135</v>
      </c>
    </row>
    <row r="740" spans="3:12" x14ac:dyDescent="0.3">
      <c r="C740">
        <v>80.246780018642312</v>
      </c>
      <c r="D740">
        <v>68.702157881780295</v>
      </c>
      <c r="E740">
        <v>91.082294147636276</v>
      </c>
      <c r="F740">
        <v>131.98411726159975</v>
      </c>
      <c r="H740" s="33">
        <f t="shared" si="57"/>
        <v>4.9356003728462383</v>
      </c>
      <c r="I740">
        <f t="shared" si="58"/>
        <v>2.5956842364394106</v>
      </c>
      <c r="J740">
        <f t="shared" si="59"/>
        <v>21.645882952725515</v>
      </c>
      <c r="K740">
        <f t="shared" si="60"/>
        <v>39.682345231994987</v>
      </c>
      <c r="L740" s="33">
        <f t="shared" si="61"/>
        <v>68.85951279400615</v>
      </c>
    </row>
    <row r="741" spans="3:12" x14ac:dyDescent="0.3">
      <c r="C741">
        <v>80.634190655546263</v>
      </c>
      <c r="D741">
        <v>70.02513161234674</v>
      </c>
      <c r="E741">
        <v>92.370543370489031</v>
      </c>
      <c r="F741">
        <v>129.81275209393061</v>
      </c>
      <c r="H741" s="33">
        <f t="shared" si="57"/>
        <v>12.683813110925257</v>
      </c>
      <c r="I741">
        <f t="shared" si="58"/>
        <v>0.50263224693480879</v>
      </c>
      <c r="J741">
        <f t="shared" si="59"/>
        <v>47.410867409780622</v>
      </c>
      <c r="K741">
        <f t="shared" si="60"/>
        <v>0.37449581213877536</v>
      </c>
      <c r="L741" s="33">
        <f t="shared" si="61"/>
        <v>60.971808579779463</v>
      </c>
    </row>
    <row r="742" spans="3:12" x14ac:dyDescent="0.3">
      <c r="C742">
        <v>78.38253188499948</v>
      </c>
      <c r="D742">
        <v>72.502565621398389</v>
      </c>
      <c r="E742">
        <v>92.049564500339329</v>
      </c>
      <c r="F742">
        <v>130.58254727264284</v>
      </c>
      <c r="H742" s="33">
        <f t="shared" si="57"/>
        <v>3.2349362300010398</v>
      </c>
      <c r="I742">
        <f t="shared" si="58"/>
        <v>50.051312427967787</v>
      </c>
      <c r="J742">
        <f t="shared" si="59"/>
        <v>40.991290006786585</v>
      </c>
      <c r="K742">
        <f t="shared" si="60"/>
        <v>11.650945452856831</v>
      </c>
      <c r="L742" s="33">
        <f t="shared" si="61"/>
        <v>105.92848411761224</v>
      </c>
    </row>
    <row r="743" spans="3:12" x14ac:dyDescent="0.3">
      <c r="C743">
        <v>79.457068042829633</v>
      </c>
      <c r="D743">
        <v>71.760572558850981</v>
      </c>
      <c r="E743">
        <v>92.343476808164269</v>
      </c>
      <c r="F743">
        <v>131.81066752702463</v>
      </c>
      <c r="H743" s="33">
        <f t="shared" si="57"/>
        <v>1.0858639143407345</v>
      </c>
      <c r="I743">
        <f t="shared" si="58"/>
        <v>35.211451177019626</v>
      </c>
      <c r="J743">
        <f t="shared" si="59"/>
        <v>46.869536163285375</v>
      </c>
      <c r="K743">
        <f t="shared" si="60"/>
        <v>36.213350540492684</v>
      </c>
      <c r="L743" s="33">
        <f t="shared" si="61"/>
        <v>119.38020179513842</v>
      </c>
    </row>
    <row r="744" spans="3:12" x14ac:dyDescent="0.3">
      <c r="C744">
        <v>79.560583319180296</v>
      </c>
      <c r="D744">
        <v>70.121356151794316</v>
      </c>
      <c r="E744">
        <v>89.056228716654005</v>
      </c>
      <c r="F744">
        <v>129.10296764937812</v>
      </c>
      <c r="H744" s="33">
        <f t="shared" si="57"/>
        <v>0.87883336163940839</v>
      </c>
      <c r="I744">
        <f t="shared" si="58"/>
        <v>2.4271230358863249</v>
      </c>
      <c r="J744">
        <f t="shared" si="59"/>
        <v>1.8875425666919909</v>
      </c>
      <c r="K744">
        <f t="shared" si="60"/>
        <v>1.7940647012437694</v>
      </c>
      <c r="L744" s="33">
        <f t="shared" si="61"/>
        <v>6.9875636654614937</v>
      </c>
    </row>
    <row r="745" spans="3:12" x14ac:dyDescent="0.3">
      <c r="C745">
        <v>79.932592800178099</v>
      </c>
      <c r="D745">
        <v>70.2265619514219</v>
      </c>
      <c r="E745">
        <v>88.367347870953381</v>
      </c>
      <c r="F745">
        <v>128.95409018790815</v>
      </c>
      <c r="H745" s="33">
        <f t="shared" si="57"/>
        <v>0.13481439964380115</v>
      </c>
      <c r="I745">
        <f t="shared" si="58"/>
        <v>4.5312390284379944</v>
      </c>
      <c r="J745">
        <f t="shared" si="59"/>
        <v>3.2653042580932379</v>
      </c>
      <c r="K745">
        <f t="shared" si="60"/>
        <v>2.0918196241836995</v>
      </c>
      <c r="L745" s="33">
        <f t="shared" si="61"/>
        <v>10.023177310358733</v>
      </c>
    </row>
    <row r="746" spans="3:12" x14ac:dyDescent="0.3">
      <c r="C746">
        <v>79.157571437535807</v>
      </c>
      <c r="D746">
        <v>70.666707364871399</v>
      </c>
      <c r="E746">
        <v>89.838306621313677</v>
      </c>
      <c r="F746">
        <v>129.81609903443314</v>
      </c>
      <c r="H746" s="33">
        <f t="shared" si="57"/>
        <v>1.684857124928385</v>
      </c>
      <c r="I746">
        <f t="shared" si="58"/>
        <v>13.33414729742799</v>
      </c>
      <c r="J746">
        <f t="shared" si="59"/>
        <v>0.32338675737264566</v>
      </c>
      <c r="K746">
        <f t="shared" si="60"/>
        <v>0.36780193113372661</v>
      </c>
      <c r="L746" s="33">
        <f t="shared" si="61"/>
        <v>15.710193110862747</v>
      </c>
    </row>
    <row r="747" spans="3:12" x14ac:dyDescent="0.3">
      <c r="C747">
        <v>79.511680925934343</v>
      </c>
      <c r="D747">
        <v>71.034477463690564</v>
      </c>
      <c r="E747">
        <v>90.961474597716006</v>
      </c>
      <c r="F747">
        <v>129.93772803463798</v>
      </c>
      <c r="H747" s="33">
        <f t="shared" si="57"/>
        <v>0.97663814813131467</v>
      </c>
      <c r="I747">
        <f t="shared" si="58"/>
        <v>20.689549273811281</v>
      </c>
      <c r="J747">
        <f t="shared" si="59"/>
        <v>19.22949195432011</v>
      </c>
      <c r="K747">
        <f t="shared" si="60"/>
        <v>0.12454393072403036</v>
      </c>
      <c r="L747" s="33">
        <f t="shared" si="61"/>
        <v>41.020223306986736</v>
      </c>
    </row>
    <row r="748" spans="3:12" x14ac:dyDescent="0.3">
      <c r="C748">
        <v>79.525596194871468</v>
      </c>
      <c r="D748">
        <v>68.375128598127048</v>
      </c>
      <c r="E748">
        <v>90.419702246290399</v>
      </c>
      <c r="F748">
        <v>127.21978383604437</v>
      </c>
      <c r="H748" s="33">
        <f t="shared" si="57"/>
        <v>0.94880761025706306</v>
      </c>
      <c r="I748">
        <f t="shared" si="58"/>
        <v>3.2497428037459031</v>
      </c>
      <c r="J748">
        <f t="shared" si="59"/>
        <v>8.3940449258079752</v>
      </c>
      <c r="K748">
        <f t="shared" si="60"/>
        <v>5.5604323279112577</v>
      </c>
      <c r="L748" s="33">
        <f t="shared" si="61"/>
        <v>18.153027667722199</v>
      </c>
    </row>
    <row r="749" spans="3:12" x14ac:dyDescent="0.3">
      <c r="C749">
        <v>78.749192400282482</v>
      </c>
      <c r="D749">
        <v>70.556367467652308</v>
      </c>
      <c r="E749">
        <v>90.28195472623338</v>
      </c>
      <c r="F749">
        <v>131.37578126668814</v>
      </c>
      <c r="H749" s="33">
        <f t="shared" si="57"/>
        <v>2.5016151994350366</v>
      </c>
      <c r="I749">
        <f t="shared" si="58"/>
        <v>11.127349353046156</v>
      </c>
      <c r="J749">
        <f t="shared" si="59"/>
        <v>5.6390945246675983</v>
      </c>
      <c r="K749">
        <f t="shared" si="60"/>
        <v>27.515625333762728</v>
      </c>
      <c r="L749" s="33">
        <f t="shared" si="61"/>
        <v>46.783684410911519</v>
      </c>
    </row>
    <row r="750" spans="3:12" x14ac:dyDescent="0.3">
      <c r="C750">
        <v>79.56890860630665</v>
      </c>
      <c r="D750">
        <v>68.419875737454277</v>
      </c>
      <c r="E750">
        <v>89.876563379075378</v>
      </c>
      <c r="F750">
        <v>130.40437953430228</v>
      </c>
      <c r="H750" s="33">
        <f t="shared" si="57"/>
        <v>0.86218278738670051</v>
      </c>
      <c r="I750">
        <f t="shared" si="58"/>
        <v>3.1602485250914469</v>
      </c>
      <c r="J750">
        <f t="shared" si="59"/>
        <v>0.24687324184924364</v>
      </c>
      <c r="K750">
        <f t="shared" si="60"/>
        <v>8.0875906860455871</v>
      </c>
      <c r="L750" s="33">
        <f t="shared" si="61"/>
        <v>12.356895240372978</v>
      </c>
    </row>
    <row r="751" spans="3:12" x14ac:dyDescent="0.3">
      <c r="C751">
        <v>79.687822764826706</v>
      </c>
      <c r="D751">
        <v>69.095966813911218</v>
      </c>
      <c r="E751">
        <v>89.626234057359397</v>
      </c>
      <c r="F751">
        <v>130.23748498279019</v>
      </c>
      <c r="H751" s="33">
        <f t="shared" si="57"/>
        <v>0.62435447034658864</v>
      </c>
      <c r="I751">
        <f t="shared" si="58"/>
        <v>1.8080663721775636</v>
      </c>
      <c r="J751">
        <f t="shared" si="59"/>
        <v>0.74753188528120518</v>
      </c>
      <c r="K751">
        <f t="shared" si="60"/>
        <v>4.7496996558038518</v>
      </c>
      <c r="L751" s="33">
        <f t="shared" si="61"/>
        <v>7.9296523836092092</v>
      </c>
    </row>
    <row r="752" spans="3:12" x14ac:dyDescent="0.3">
      <c r="C752">
        <v>78.430448613362387</v>
      </c>
      <c r="D752">
        <v>69.787387423566543</v>
      </c>
      <c r="E752">
        <v>89.85085082698788</v>
      </c>
      <c r="F752">
        <v>132.68453732132912</v>
      </c>
      <c r="H752" s="33">
        <f t="shared" si="57"/>
        <v>3.1391027732752264</v>
      </c>
      <c r="I752">
        <f t="shared" si="58"/>
        <v>0.42522515286691487</v>
      </c>
      <c r="J752">
        <f t="shared" si="59"/>
        <v>0.29829834602423944</v>
      </c>
      <c r="K752">
        <f t="shared" si="60"/>
        <v>53.690746426582336</v>
      </c>
      <c r="L752" s="33">
        <f t="shared" si="61"/>
        <v>57.553372698748717</v>
      </c>
    </row>
    <row r="753" spans="3:12" x14ac:dyDescent="0.3">
      <c r="C753">
        <v>78.64768597035436</v>
      </c>
      <c r="D753">
        <v>68.568714545399416</v>
      </c>
      <c r="E753">
        <v>88.681460056104697</v>
      </c>
      <c r="F753">
        <v>130.15007799447631</v>
      </c>
      <c r="H753" s="33">
        <f t="shared" si="57"/>
        <v>2.7046280592912808</v>
      </c>
      <c r="I753">
        <f t="shared" si="58"/>
        <v>2.8625709092011675</v>
      </c>
      <c r="J753">
        <f t="shared" si="59"/>
        <v>2.6370798877906054</v>
      </c>
      <c r="K753">
        <f t="shared" si="60"/>
        <v>3.0015598895261064</v>
      </c>
      <c r="L753" s="33">
        <f t="shared" si="61"/>
        <v>11.20583874580916</v>
      </c>
    </row>
    <row r="754" spans="3:12" x14ac:dyDescent="0.3">
      <c r="C754">
        <v>80.649606590741314</v>
      </c>
      <c r="D754">
        <v>71.60597210197011</v>
      </c>
      <c r="E754">
        <v>92.388715074630454</v>
      </c>
      <c r="F754">
        <v>130.94783899839967</v>
      </c>
      <c r="H754" s="33">
        <f t="shared" si="57"/>
        <v>12.99213181482628</v>
      </c>
      <c r="I754">
        <f t="shared" si="58"/>
        <v>32.119442039402202</v>
      </c>
      <c r="J754">
        <f t="shared" si="59"/>
        <v>47.774301492609084</v>
      </c>
      <c r="K754">
        <f t="shared" si="60"/>
        <v>18.956779967993498</v>
      </c>
      <c r="L754" s="33">
        <f t="shared" si="61"/>
        <v>111.84265531483106</v>
      </c>
    </row>
    <row r="755" spans="3:12" x14ac:dyDescent="0.3">
      <c r="C755">
        <v>79.04046717347228</v>
      </c>
      <c r="D755">
        <v>70.007075868779793</v>
      </c>
      <c r="E755">
        <v>89.869160092202947</v>
      </c>
      <c r="F755">
        <v>130.96695430329419</v>
      </c>
      <c r="H755" s="33">
        <f t="shared" si="57"/>
        <v>1.9190656530554406</v>
      </c>
      <c r="I755">
        <f t="shared" si="58"/>
        <v>0.14151737559586763</v>
      </c>
      <c r="J755">
        <f t="shared" si="59"/>
        <v>0.26167981559410691</v>
      </c>
      <c r="K755">
        <f t="shared" si="60"/>
        <v>19.339086065883748</v>
      </c>
      <c r="L755" s="33">
        <f t="shared" si="61"/>
        <v>21.661348910129163</v>
      </c>
    </row>
    <row r="756" spans="3:12" x14ac:dyDescent="0.3">
      <c r="C756">
        <v>79.6628241660801</v>
      </c>
      <c r="D756">
        <v>70.465774974145461</v>
      </c>
      <c r="E756">
        <v>91.852836248872336</v>
      </c>
      <c r="F756">
        <v>130.9330778993899</v>
      </c>
      <c r="H756" s="33">
        <f t="shared" si="57"/>
        <v>0.67435166783980094</v>
      </c>
      <c r="I756">
        <f t="shared" si="58"/>
        <v>9.3154994829092175</v>
      </c>
      <c r="J756">
        <f t="shared" si="59"/>
        <v>37.05672497744672</v>
      </c>
      <c r="K756">
        <f t="shared" si="60"/>
        <v>18.661557987798005</v>
      </c>
      <c r="L756" s="33">
        <f t="shared" si="61"/>
        <v>65.708134115993744</v>
      </c>
    </row>
    <row r="757" spans="3:12" x14ac:dyDescent="0.3">
      <c r="C757">
        <v>81.280977812712081</v>
      </c>
      <c r="D757">
        <v>68.538892214128282</v>
      </c>
      <c r="E757">
        <v>89.234105416689999</v>
      </c>
      <c r="F757">
        <v>127.85462023282889</v>
      </c>
      <c r="H757" s="33">
        <f t="shared" si="57"/>
        <v>25.619556254241616</v>
      </c>
      <c r="I757">
        <f t="shared" si="58"/>
        <v>2.9222155717434362</v>
      </c>
      <c r="J757">
        <f t="shared" si="59"/>
        <v>1.5317891666200012</v>
      </c>
      <c r="K757">
        <f t="shared" si="60"/>
        <v>4.2907595343422145</v>
      </c>
      <c r="L757" s="33">
        <f t="shared" si="61"/>
        <v>34.364320526947267</v>
      </c>
    </row>
    <row r="758" spans="3:12" x14ac:dyDescent="0.3">
      <c r="C758">
        <v>80.556010490981862</v>
      </c>
      <c r="D758">
        <v>69.27590693005186</v>
      </c>
      <c r="E758">
        <v>88.540006345137954</v>
      </c>
      <c r="F758">
        <v>131.25752649182687</v>
      </c>
      <c r="H758" s="33">
        <f t="shared" si="57"/>
        <v>11.120209819637239</v>
      </c>
      <c r="I758">
        <f t="shared" si="58"/>
        <v>1.4481861398962792</v>
      </c>
      <c r="J758">
        <f t="shared" si="59"/>
        <v>2.9199873097240925</v>
      </c>
      <c r="K758">
        <f t="shared" si="60"/>
        <v>25.150529836537316</v>
      </c>
      <c r="L758" s="33">
        <f t="shared" si="61"/>
        <v>40.638913105794927</v>
      </c>
    </row>
    <row r="759" spans="3:12" x14ac:dyDescent="0.3">
      <c r="C759">
        <v>79.040951479400974</v>
      </c>
      <c r="D759">
        <v>71.306593730987515</v>
      </c>
      <c r="E759">
        <v>88.007597241667099</v>
      </c>
      <c r="F759">
        <v>130.10788085091917</v>
      </c>
      <c r="H759" s="33">
        <f t="shared" si="57"/>
        <v>1.9180970411980525</v>
      </c>
      <c r="I759">
        <f t="shared" si="58"/>
        <v>26.131874619750306</v>
      </c>
      <c r="J759">
        <f t="shared" si="59"/>
        <v>3.9848055166658014</v>
      </c>
      <c r="K759">
        <f t="shared" si="60"/>
        <v>2.157617018383462</v>
      </c>
      <c r="L759" s="33">
        <f t="shared" si="61"/>
        <v>34.192394195997622</v>
      </c>
    </row>
    <row r="760" spans="3:12" x14ac:dyDescent="0.3">
      <c r="C760">
        <v>79.446933998115128</v>
      </c>
      <c r="D760">
        <v>69.708160203226726</v>
      </c>
      <c r="E760">
        <v>88.973457877582405</v>
      </c>
      <c r="F760">
        <v>129.47031710689771</v>
      </c>
      <c r="H760" s="33">
        <f t="shared" si="57"/>
        <v>1.1061320037697442</v>
      </c>
      <c r="I760">
        <f t="shared" si="58"/>
        <v>0.58367959354654886</v>
      </c>
      <c r="J760">
        <f t="shared" si="59"/>
        <v>2.0530842448351905</v>
      </c>
      <c r="K760">
        <f t="shared" si="60"/>
        <v>1.0593657862045802</v>
      </c>
      <c r="L760" s="33">
        <f t="shared" si="61"/>
        <v>4.8022616283560637</v>
      </c>
    </row>
    <row r="761" spans="3:12" x14ac:dyDescent="0.3">
      <c r="C761">
        <v>79.845510956220096</v>
      </c>
      <c r="D761">
        <v>68.624809904868016</v>
      </c>
      <c r="E761">
        <v>91.057749159372179</v>
      </c>
      <c r="F761">
        <v>130.74897570812027</v>
      </c>
      <c r="H761" s="33">
        <f t="shared" si="57"/>
        <v>0.30897808755980805</v>
      </c>
      <c r="I761">
        <f t="shared" si="58"/>
        <v>2.750380190263968</v>
      </c>
      <c r="J761">
        <f t="shared" si="59"/>
        <v>21.154983187443577</v>
      </c>
      <c r="K761">
        <f t="shared" si="60"/>
        <v>14.979514162405394</v>
      </c>
      <c r="L761" s="33">
        <f t="shared" si="61"/>
        <v>39.193855627672747</v>
      </c>
    </row>
    <row r="762" spans="3:12" x14ac:dyDescent="0.3">
      <c r="C762">
        <v>81.783746483852156</v>
      </c>
      <c r="D762">
        <v>69.235028553812299</v>
      </c>
      <c r="E762">
        <v>91.114312908612192</v>
      </c>
      <c r="F762">
        <v>128.88426145844278</v>
      </c>
      <c r="H762" s="33">
        <f t="shared" si="57"/>
        <v>35.67492967704311</v>
      </c>
      <c r="I762">
        <f t="shared" si="58"/>
        <v>1.5299428923754022</v>
      </c>
      <c r="J762">
        <f t="shared" si="59"/>
        <v>22.286258172243834</v>
      </c>
      <c r="K762">
        <f t="shared" si="60"/>
        <v>2.2314770831144415</v>
      </c>
      <c r="L762" s="33">
        <f t="shared" si="61"/>
        <v>61.722607824776787</v>
      </c>
    </row>
    <row r="763" spans="3:12" x14ac:dyDescent="0.3">
      <c r="C763">
        <v>79.898195710557047</v>
      </c>
      <c r="D763">
        <v>70.299431803796324</v>
      </c>
      <c r="E763">
        <v>90.83676923168241</v>
      </c>
      <c r="F763">
        <v>129.11026407062309</v>
      </c>
      <c r="H763" s="33">
        <f t="shared" si="57"/>
        <v>0.20360857888590544</v>
      </c>
      <c r="I763">
        <f t="shared" si="58"/>
        <v>5.988636075926479</v>
      </c>
      <c r="J763">
        <f t="shared" si="59"/>
        <v>16.735384633648209</v>
      </c>
      <c r="K763">
        <f t="shared" si="60"/>
        <v>1.7794718587538227</v>
      </c>
      <c r="L763" s="33">
        <f t="shared" si="61"/>
        <v>24.707101147214416</v>
      </c>
    </row>
    <row r="764" spans="3:12" x14ac:dyDescent="0.3">
      <c r="C764">
        <v>79.55450903144083</v>
      </c>
      <c r="D764">
        <v>71.756625351845287</v>
      </c>
      <c r="E764">
        <v>90.278852212431957</v>
      </c>
      <c r="F764">
        <v>130.45361616685113</v>
      </c>
      <c r="H764" s="33">
        <f t="shared" si="57"/>
        <v>0.89098193711834028</v>
      </c>
      <c r="I764">
        <f t="shared" si="58"/>
        <v>35.132507036905736</v>
      </c>
      <c r="J764">
        <f t="shared" si="59"/>
        <v>5.5770442486391403</v>
      </c>
      <c r="K764">
        <f t="shared" si="60"/>
        <v>9.0723233370226808</v>
      </c>
      <c r="L764" s="33">
        <f t="shared" si="61"/>
        <v>50.672856559685897</v>
      </c>
    </row>
    <row r="765" spans="3:12" x14ac:dyDescent="0.3">
      <c r="C765">
        <v>79.870701685722452</v>
      </c>
      <c r="D765">
        <v>72.052702257060446</v>
      </c>
      <c r="E765">
        <v>89.554761416220572</v>
      </c>
      <c r="F765">
        <v>130.28012436814606</v>
      </c>
      <c r="H765" s="33">
        <f t="shared" si="57"/>
        <v>0.25859662855509669</v>
      </c>
      <c r="I765">
        <f t="shared" si="58"/>
        <v>41.054045141208917</v>
      </c>
      <c r="J765">
        <f t="shared" si="59"/>
        <v>0.89047716755885631</v>
      </c>
      <c r="K765">
        <f t="shared" si="60"/>
        <v>5.6024873629212379</v>
      </c>
      <c r="L765" s="33">
        <f t="shared" si="61"/>
        <v>47.805606300244108</v>
      </c>
    </row>
    <row r="766" spans="3:12" x14ac:dyDescent="0.3">
      <c r="C766">
        <v>77.061240719631314</v>
      </c>
      <c r="D766">
        <v>69.666708845325047</v>
      </c>
      <c r="E766">
        <v>89.52927510094014</v>
      </c>
      <c r="F766">
        <v>128.2497820383287</v>
      </c>
      <c r="H766" s="33">
        <f t="shared" si="57"/>
        <v>5.8775185607373714</v>
      </c>
      <c r="I766">
        <f t="shared" si="58"/>
        <v>0.6665823093499057</v>
      </c>
      <c r="J766">
        <f t="shared" si="59"/>
        <v>0.94144979811972007</v>
      </c>
      <c r="K766">
        <f t="shared" si="60"/>
        <v>3.500435923342593</v>
      </c>
      <c r="L766" s="33">
        <f t="shared" si="61"/>
        <v>10.98598659154959</v>
      </c>
    </row>
    <row r="767" spans="3:12" x14ac:dyDescent="0.3">
      <c r="C767">
        <v>80.908069068827899</v>
      </c>
      <c r="D767">
        <v>70.210812913792324</v>
      </c>
      <c r="E767">
        <v>90.26963789423462</v>
      </c>
      <c r="F767">
        <v>129.28719489616924</v>
      </c>
      <c r="H767" s="33">
        <f t="shared" si="57"/>
        <v>18.161381376557983</v>
      </c>
      <c r="I767">
        <f t="shared" si="58"/>
        <v>4.216258275846485</v>
      </c>
      <c r="J767">
        <f t="shared" si="59"/>
        <v>5.3927578846924007</v>
      </c>
      <c r="K767">
        <f t="shared" si="60"/>
        <v>1.4256102076615207</v>
      </c>
      <c r="L767" s="33">
        <f t="shared" si="61"/>
        <v>29.19600774475839</v>
      </c>
    </row>
    <row r="768" spans="3:12" x14ac:dyDescent="0.3">
      <c r="C768">
        <v>80.776087745180121</v>
      </c>
      <c r="D768">
        <v>68.801963556616101</v>
      </c>
      <c r="E768">
        <v>89.679619122616714</v>
      </c>
      <c r="F768">
        <v>128.70817191549577</v>
      </c>
      <c r="H768" s="33">
        <f t="shared" si="57"/>
        <v>15.521754903602414</v>
      </c>
      <c r="I768">
        <f t="shared" si="58"/>
        <v>2.3960728867677972</v>
      </c>
      <c r="J768">
        <f t="shared" si="59"/>
        <v>0.64076175476657227</v>
      </c>
      <c r="K768">
        <f t="shared" si="60"/>
        <v>2.5836561690084636</v>
      </c>
      <c r="L768" s="33">
        <f t="shared" si="61"/>
        <v>21.142245714145247</v>
      </c>
    </row>
    <row r="769" spans="3:12" x14ac:dyDescent="0.3">
      <c r="C769">
        <v>80.350892150891013</v>
      </c>
      <c r="D769">
        <v>70.080524387158221</v>
      </c>
      <c r="E769">
        <v>89.876100673645851</v>
      </c>
      <c r="F769">
        <v>131.33402409119299</v>
      </c>
      <c r="H769" s="33">
        <f t="shared" si="57"/>
        <v>7.0178430178202689</v>
      </c>
      <c r="I769">
        <f t="shared" si="58"/>
        <v>1.6104877431644127</v>
      </c>
      <c r="J769">
        <f t="shared" si="59"/>
        <v>0.2477986527082976</v>
      </c>
      <c r="K769">
        <f t="shared" si="60"/>
        <v>26.680481823859736</v>
      </c>
      <c r="L769" s="33">
        <f t="shared" si="61"/>
        <v>35.556611237552715</v>
      </c>
    </row>
    <row r="770" spans="3:12" x14ac:dyDescent="0.3">
      <c r="C770">
        <v>79.714061686972855</v>
      </c>
      <c r="D770">
        <v>68.921134647389408</v>
      </c>
      <c r="E770">
        <v>90.729273779143114</v>
      </c>
      <c r="F770">
        <v>130.10688040674722</v>
      </c>
      <c r="H770" s="33">
        <f t="shared" si="57"/>
        <v>0.57187662605429068</v>
      </c>
      <c r="I770">
        <f t="shared" si="58"/>
        <v>2.1577307052211836</v>
      </c>
      <c r="J770">
        <f t="shared" si="59"/>
        <v>14.585475582862273</v>
      </c>
      <c r="K770">
        <f t="shared" si="60"/>
        <v>2.1376081349444576</v>
      </c>
      <c r="L770" s="33">
        <f t="shared" si="61"/>
        <v>19.452691049082205</v>
      </c>
    </row>
    <row r="771" spans="3:12" x14ac:dyDescent="0.3">
      <c r="C771">
        <v>77.919467205065303</v>
      </c>
      <c r="D771">
        <v>70.133386492962018</v>
      </c>
      <c r="E771">
        <v>90.307201162286219</v>
      </c>
      <c r="F771">
        <v>129.24554458630155</v>
      </c>
      <c r="H771" s="33">
        <f t="shared" si="57"/>
        <v>4.1610655898693949</v>
      </c>
      <c r="I771">
        <f t="shared" si="58"/>
        <v>2.6677298592403531</v>
      </c>
      <c r="J771">
        <f t="shared" si="59"/>
        <v>6.1440232457243837</v>
      </c>
      <c r="K771">
        <f t="shared" si="60"/>
        <v>1.5089108273969032</v>
      </c>
      <c r="L771" s="33">
        <f t="shared" si="61"/>
        <v>14.481729522231035</v>
      </c>
    </row>
    <row r="772" spans="3:12" x14ac:dyDescent="0.3">
      <c r="C772">
        <v>79.914639374765102</v>
      </c>
      <c r="D772">
        <v>70.43050363274233</v>
      </c>
      <c r="E772">
        <v>90.97381416708231</v>
      </c>
      <c r="F772">
        <v>130.21120399651409</v>
      </c>
      <c r="H772" s="33">
        <f t="shared" si="57"/>
        <v>0.17072125046979636</v>
      </c>
      <c r="I772">
        <f t="shared" si="58"/>
        <v>8.61007265484659</v>
      </c>
      <c r="J772">
        <f t="shared" si="59"/>
        <v>19.476283341646194</v>
      </c>
      <c r="K772">
        <f t="shared" si="60"/>
        <v>4.2240799302817322</v>
      </c>
      <c r="L772" s="33">
        <f t="shared" si="61"/>
        <v>32.481157177244313</v>
      </c>
    </row>
    <row r="773" spans="3:12" x14ac:dyDescent="0.3">
      <c r="C773">
        <v>80.352031293004984</v>
      </c>
      <c r="D773">
        <v>70.199718215299072</v>
      </c>
      <c r="E773">
        <v>90.907259618543321</v>
      </c>
      <c r="F773">
        <v>129.52045300233294</v>
      </c>
      <c r="H773" s="33">
        <f t="shared" si="57"/>
        <v>7.0406258600996807</v>
      </c>
      <c r="I773">
        <f t="shared" si="58"/>
        <v>3.9943643059814349</v>
      </c>
      <c r="J773">
        <f t="shared" si="59"/>
        <v>18.145192370866425</v>
      </c>
      <c r="K773">
        <f t="shared" si="60"/>
        <v>0.95909399533411488</v>
      </c>
      <c r="L773" s="33">
        <f t="shared" si="61"/>
        <v>30.139276532281656</v>
      </c>
    </row>
    <row r="774" spans="3:12" x14ac:dyDescent="0.3">
      <c r="C774">
        <v>79.932438186078798</v>
      </c>
      <c r="D774">
        <v>70.406206481784466</v>
      </c>
      <c r="E774">
        <v>90.357734961653478</v>
      </c>
      <c r="F774">
        <v>128.81116309552453</v>
      </c>
      <c r="H774" s="33">
        <f t="shared" si="57"/>
        <v>0.13512362784240395</v>
      </c>
      <c r="I774">
        <f t="shared" si="58"/>
        <v>8.1241296356893145</v>
      </c>
      <c r="J774">
        <f t="shared" si="59"/>
        <v>7.1546992330695502</v>
      </c>
      <c r="K774">
        <f t="shared" si="60"/>
        <v>2.3776738089509308</v>
      </c>
      <c r="L774" s="33">
        <f t="shared" si="61"/>
        <v>17.791626305552199</v>
      </c>
    </row>
    <row r="775" spans="3:12" x14ac:dyDescent="0.3">
      <c r="C775">
        <v>80.660413661535131</v>
      </c>
      <c r="D775">
        <v>70.662604406898026</v>
      </c>
      <c r="E775">
        <v>89.792939888720866</v>
      </c>
      <c r="F775">
        <v>131.75985405803658</v>
      </c>
      <c r="H775" s="33">
        <f t="shared" si="57"/>
        <v>13.208273230702616</v>
      </c>
      <c r="I775">
        <f t="shared" si="58"/>
        <v>13.252088137960527</v>
      </c>
      <c r="J775">
        <f t="shared" si="59"/>
        <v>0.41412022255826741</v>
      </c>
      <c r="K775">
        <f t="shared" si="60"/>
        <v>35.197081160731614</v>
      </c>
      <c r="L775" s="33">
        <f t="shared" si="61"/>
        <v>62.071562751953024</v>
      </c>
    </row>
    <row r="776" spans="3:12" x14ac:dyDescent="0.3">
      <c r="C776">
        <v>80.260685055764043</v>
      </c>
      <c r="D776">
        <v>70.494533196615521</v>
      </c>
      <c r="E776">
        <v>89.096312421897892</v>
      </c>
      <c r="F776">
        <v>129.90250216796994</v>
      </c>
      <c r="H776" s="33">
        <f t="shared" si="57"/>
        <v>5.2137011152808554</v>
      </c>
      <c r="I776">
        <f t="shared" si="58"/>
        <v>9.8906639323104173</v>
      </c>
      <c r="J776">
        <f t="shared" si="59"/>
        <v>1.8073751562042162</v>
      </c>
      <c r="K776">
        <f t="shared" si="60"/>
        <v>0.19499566406011581</v>
      </c>
      <c r="L776" s="33">
        <f t="shared" si="61"/>
        <v>17.106735867855605</v>
      </c>
    </row>
    <row r="777" spans="3:12" x14ac:dyDescent="0.3">
      <c r="C777">
        <v>79.932822447590297</v>
      </c>
      <c r="D777">
        <v>69.120334450708469</v>
      </c>
      <c r="E777">
        <v>90.236698269873159</v>
      </c>
      <c r="F777">
        <v>128.27977262611967</v>
      </c>
      <c r="H777" s="33">
        <f t="shared" si="57"/>
        <v>0.13435510481940582</v>
      </c>
      <c r="I777">
        <f t="shared" si="58"/>
        <v>1.7593310985830612</v>
      </c>
      <c r="J777">
        <f t="shared" si="59"/>
        <v>4.7339653974631801</v>
      </c>
      <c r="K777">
        <f t="shared" si="60"/>
        <v>3.4404547477606684</v>
      </c>
      <c r="L777" s="33">
        <f t="shared" si="61"/>
        <v>10.068106348626316</v>
      </c>
    </row>
    <row r="778" spans="3:12" x14ac:dyDescent="0.3">
      <c r="C778">
        <v>80.347965851688059</v>
      </c>
      <c r="D778">
        <v>69.559993284492521</v>
      </c>
      <c r="E778">
        <v>90.60894990383531</v>
      </c>
      <c r="F778">
        <v>128.02133061166387</v>
      </c>
      <c r="H778" s="33">
        <f t="shared" si="57"/>
        <v>6.9593170337611809</v>
      </c>
      <c r="I778">
        <f t="shared" si="58"/>
        <v>0.88001343101495877</v>
      </c>
      <c r="J778">
        <f t="shared" si="59"/>
        <v>12.178998076706193</v>
      </c>
      <c r="K778">
        <f t="shared" si="60"/>
        <v>3.957338776672259</v>
      </c>
      <c r="L778" s="33">
        <f t="shared" si="61"/>
        <v>23.975667318154592</v>
      </c>
    </row>
    <row r="779" spans="3:12" x14ac:dyDescent="0.3">
      <c r="C779">
        <v>77.988879840704612</v>
      </c>
      <c r="D779">
        <v>70.243469457927858</v>
      </c>
      <c r="E779">
        <v>89.392799736597226</v>
      </c>
      <c r="F779">
        <v>129.95044731804228</v>
      </c>
      <c r="H779" s="33">
        <f t="shared" si="57"/>
        <v>4.0222403185907751</v>
      </c>
      <c r="I779">
        <f t="shared" si="58"/>
        <v>4.8693891585571691</v>
      </c>
      <c r="J779">
        <f t="shared" si="59"/>
        <v>1.214400526805548</v>
      </c>
      <c r="K779">
        <f t="shared" si="60"/>
        <v>9.9105363915441558E-2</v>
      </c>
      <c r="L779" s="33">
        <f t="shared" si="61"/>
        <v>10.205135367868934</v>
      </c>
    </row>
    <row r="780" spans="3:12" x14ac:dyDescent="0.3">
      <c r="C780">
        <v>78.962250629119808</v>
      </c>
      <c r="D780">
        <v>69.7683335095644</v>
      </c>
      <c r="E780">
        <v>88.96995177550707</v>
      </c>
      <c r="F780">
        <v>130.46330342229339</v>
      </c>
      <c r="H780" s="33">
        <f t="shared" si="57"/>
        <v>2.0754987417603843</v>
      </c>
      <c r="I780">
        <f t="shared" si="58"/>
        <v>0.46333298087120056</v>
      </c>
      <c r="J780">
        <f t="shared" si="59"/>
        <v>2.0600964489858598</v>
      </c>
      <c r="K780">
        <f t="shared" si="60"/>
        <v>9.2660684458678588</v>
      </c>
      <c r="L780" s="33">
        <f t="shared" si="61"/>
        <v>13.864996617485303</v>
      </c>
    </row>
    <row r="781" spans="3:12" x14ac:dyDescent="0.3">
      <c r="C781">
        <v>80.468675125375739</v>
      </c>
      <c r="D781">
        <v>70.303193701256532</v>
      </c>
      <c r="E781">
        <v>89.799032366354368</v>
      </c>
      <c r="F781">
        <v>130.20510697140708</v>
      </c>
      <c r="H781" s="33">
        <f t="shared" si="57"/>
        <v>9.373502507514786</v>
      </c>
      <c r="I781">
        <f t="shared" si="58"/>
        <v>6.0638740251306444</v>
      </c>
      <c r="J781">
        <f t="shared" si="59"/>
        <v>0.40193526729126461</v>
      </c>
      <c r="K781">
        <f t="shared" si="60"/>
        <v>4.1021394281415269</v>
      </c>
      <c r="L781" s="33">
        <f t="shared" si="61"/>
        <v>19.941451228078222</v>
      </c>
    </row>
    <row r="782" spans="3:12" x14ac:dyDescent="0.3">
      <c r="C782">
        <v>80.089661398305907</v>
      </c>
      <c r="D782">
        <v>68.745001903444063</v>
      </c>
      <c r="E782">
        <v>88.630107711505843</v>
      </c>
      <c r="F782">
        <v>129.43045622785576</v>
      </c>
      <c r="H782" s="33">
        <f t="shared" si="57"/>
        <v>1.7932279661181383</v>
      </c>
      <c r="I782">
        <f t="shared" si="58"/>
        <v>2.5099961931118742</v>
      </c>
      <c r="J782">
        <f t="shared" si="59"/>
        <v>2.7397845769883133</v>
      </c>
      <c r="K782">
        <f t="shared" si="60"/>
        <v>1.1390875442884862</v>
      </c>
      <c r="L782" s="33">
        <f t="shared" si="61"/>
        <v>8.182096280506812</v>
      </c>
    </row>
    <row r="783" spans="3:12" x14ac:dyDescent="0.3">
      <c r="C783">
        <v>80.168129190569744</v>
      </c>
      <c r="D783">
        <v>70.290164052785258</v>
      </c>
      <c r="E783">
        <v>90.230722889682511</v>
      </c>
      <c r="F783">
        <v>130.60710817706422</v>
      </c>
      <c r="H783" s="33">
        <f t="shared" si="57"/>
        <v>3.3625838113948703</v>
      </c>
      <c r="I783">
        <f t="shared" si="58"/>
        <v>5.8032810557051562</v>
      </c>
      <c r="J783">
        <f t="shared" si="59"/>
        <v>4.6144577936502174</v>
      </c>
      <c r="K783">
        <f t="shared" si="60"/>
        <v>12.14216354128439</v>
      </c>
      <c r="L783" s="33">
        <f t="shared" si="61"/>
        <v>25.922486202034634</v>
      </c>
    </row>
    <row r="784" spans="3:12" x14ac:dyDescent="0.3">
      <c r="C784">
        <v>79.65577103466785</v>
      </c>
      <c r="D784">
        <v>70.605637069384102</v>
      </c>
      <c r="E784">
        <v>89.544602360401768</v>
      </c>
      <c r="F784">
        <v>131.13446503746673</v>
      </c>
      <c r="H784" s="33">
        <f t="shared" si="57"/>
        <v>0.68845793066429906</v>
      </c>
      <c r="I784">
        <f t="shared" si="58"/>
        <v>12.112741387682036</v>
      </c>
      <c r="J784">
        <f t="shared" si="59"/>
        <v>0.91079527919646353</v>
      </c>
      <c r="K784">
        <f t="shared" si="60"/>
        <v>22.689300749334507</v>
      </c>
      <c r="L784" s="33">
        <f t="shared" si="61"/>
        <v>36.401295346877305</v>
      </c>
    </row>
    <row r="785" spans="3:12" x14ac:dyDescent="0.3">
      <c r="C785">
        <v>80.659558736515464</v>
      </c>
      <c r="D785">
        <v>69.589635990560055</v>
      </c>
      <c r="E785">
        <v>90.285459691440337</v>
      </c>
      <c r="F785">
        <v>128.7992941896664</v>
      </c>
      <c r="H785" s="33">
        <f t="shared" si="57"/>
        <v>13.191174730309285</v>
      </c>
      <c r="I785">
        <f t="shared" si="58"/>
        <v>0.82072801887989044</v>
      </c>
      <c r="J785">
        <f t="shared" si="59"/>
        <v>5.7091938288067468</v>
      </c>
      <c r="K785">
        <f t="shared" si="60"/>
        <v>2.4014116206672043</v>
      </c>
      <c r="L785" s="33">
        <f t="shared" si="61"/>
        <v>22.122508198663127</v>
      </c>
    </row>
    <row r="786" spans="3:12" x14ac:dyDescent="0.3">
      <c r="C786">
        <v>79.814931470609736</v>
      </c>
      <c r="D786">
        <v>70.013960743672214</v>
      </c>
      <c r="E786">
        <v>88.498569766525179</v>
      </c>
      <c r="F786">
        <v>130.18024593373411</v>
      </c>
      <c r="H786" s="33">
        <f t="shared" si="57"/>
        <v>0.3701370587805286</v>
      </c>
      <c r="I786">
        <f t="shared" si="58"/>
        <v>0.27921487344428897</v>
      </c>
      <c r="J786">
        <f t="shared" si="59"/>
        <v>3.0028604669496417</v>
      </c>
      <c r="K786">
        <f t="shared" si="60"/>
        <v>3.604918674682267</v>
      </c>
      <c r="L786" s="33">
        <f t="shared" si="61"/>
        <v>7.2571310738567263</v>
      </c>
    </row>
    <row r="787" spans="3:12" x14ac:dyDescent="0.3">
      <c r="C787">
        <v>81.969547156477347</v>
      </c>
      <c r="D787">
        <v>71.305156729358714</v>
      </c>
      <c r="E787">
        <v>91.324219738307875</v>
      </c>
      <c r="F787">
        <v>130.04312028067943</v>
      </c>
      <c r="H787" s="33">
        <f t="shared" si="57"/>
        <v>39.39094312954694</v>
      </c>
      <c r="I787">
        <f t="shared" si="58"/>
        <v>26.103134587174281</v>
      </c>
      <c r="J787">
        <f t="shared" si="59"/>
        <v>26.484394766157493</v>
      </c>
      <c r="K787">
        <f t="shared" si="60"/>
        <v>0.86240561358863488</v>
      </c>
      <c r="L787" s="33">
        <f t="shared" si="61"/>
        <v>92.84087809646735</v>
      </c>
    </row>
    <row r="788" spans="3:12" x14ac:dyDescent="0.3">
      <c r="C788">
        <v>81.181117568194168</v>
      </c>
      <c r="D788">
        <v>70.887464466359233</v>
      </c>
      <c r="E788">
        <v>90.848551735543879</v>
      </c>
      <c r="F788">
        <v>130.2807610144373</v>
      </c>
      <c r="H788" s="33">
        <f t="shared" si="57"/>
        <v>23.622351363883354</v>
      </c>
      <c r="I788">
        <f t="shared" si="58"/>
        <v>17.74928932718467</v>
      </c>
      <c r="J788">
        <f t="shared" si="59"/>
        <v>16.971034710877575</v>
      </c>
      <c r="K788">
        <f t="shared" si="60"/>
        <v>5.6152202887460589</v>
      </c>
      <c r="L788" s="33">
        <f t="shared" si="61"/>
        <v>63.957895690691657</v>
      </c>
    </row>
    <row r="789" spans="3:12" x14ac:dyDescent="0.3">
      <c r="C789">
        <v>77.742670529987663</v>
      </c>
      <c r="D789">
        <v>71.454245648346841</v>
      </c>
      <c r="E789">
        <v>89.439967268699547</v>
      </c>
      <c r="F789">
        <v>129.77257516547979</v>
      </c>
      <c r="H789" s="33">
        <f t="shared" si="57"/>
        <v>4.5146589400246739</v>
      </c>
      <c r="I789">
        <f t="shared" si="58"/>
        <v>29.084912966936827</v>
      </c>
      <c r="J789">
        <f t="shared" si="59"/>
        <v>1.1200654626009054</v>
      </c>
      <c r="K789">
        <f t="shared" si="60"/>
        <v>0.45484966904041357</v>
      </c>
      <c r="L789" s="33">
        <f t="shared" si="61"/>
        <v>35.17448703860282</v>
      </c>
    </row>
    <row r="790" spans="3:12" x14ac:dyDescent="0.3">
      <c r="C790">
        <v>78.444450284296181</v>
      </c>
      <c r="D790">
        <v>68.762464201718103</v>
      </c>
      <c r="E790">
        <v>90.157741624207119</v>
      </c>
      <c r="F790">
        <v>130.41494558900013</v>
      </c>
      <c r="H790" s="33">
        <f t="shared" si="57"/>
        <v>3.1110994314076379</v>
      </c>
      <c r="I790">
        <f t="shared" si="58"/>
        <v>2.4750715965637937</v>
      </c>
      <c r="J790">
        <f t="shared" si="59"/>
        <v>3.1548324841423891</v>
      </c>
      <c r="K790">
        <f t="shared" si="60"/>
        <v>8.2989117800025269</v>
      </c>
      <c r="L790" s="33">
        <f t="shared" si="61"/>
        <v>17.039915292116348</v>
      </c>
    </row>
    <row r="791" spans="3:12" x14ac:dyDescent="0.3">
      <c r="C791">
        <v>78.935804796929006</v>
      </c>
      <c r="D791">
        <v>69.638430381310172</v>
      </c>
      <c r="E791">
        <v>89.519939137826441</v>
      </c>
      <c r="F791">
        <v>130.82639189713518</v>
      </c>
      <c r="H791" s="33">
        <f t="shared" ref="H791:H854" si="62">IF(C791&gt;$C$19,(C791-$C$19)*$I$11,($C$19-C791)*$H$11)</f>
        <v>2.1283904061419889</v>
      </c>
      <c r="I791">
        <f t="shared" ref="I791:I854" si="63">IF(D791&gt;$D$19,(D791-$D$19)*$I$11,($D$19-D791)*$H$11)</f>
        <v>0.72313923737965524</v>
      </c>
      <c r="J791">
        <f t="shared" ref="J791:J854" si="64">IF(E791&gt;$E$19,(E791-$E$19)*$I$11,($E$19-E791)*$H$11)</f>
        <v>0.96012172434711829</v>
      </c>
      <c r="K791">
        <f t="shared" ref="K791:K854" si="65">IF(F791&gt;$F$19,(F791-$F$19)*$I$11,($F$19-F791)*$H$11)</f>
        <v>16.527837942703627</v>
      </c>
      <c r="L791" s="33">
        <f t="shared" ref="L791:L854" si="66">SUM(H791:K791)</f>
        <v>20.33948931057239</v>
      </c>
    </row>
    <row r="792" spans="3:12" x14ac:dyDescent="0.3">
      <c r="C792">
        <v>78.487373886746354</v>
      </c>
      <c r="D792">
        <v>70.319736273013405</v>
      </c>
      <c r="E792">
        <v>89.997207851265557</v>
      </c>
      <c r="F792">
        <v>130.5912716005696</v>
      </c>
      <c r="H792" s="33">
        <f t="shared" si="62"/>
        <v>3.0252522265072912</v>
      </c>
      <c r="I792">
        <f t="shared" si="63"/>
        <v>6.3947254602680914</v>
      </c>
      <c r="J792">
        <f t="shared" si="64"/>
        <v>5.5842974688857794E-3</v>
      </c>
      <c r="K792">
        <f t="shared" si="65"/>
        <v>11.825432011391968</v>
      </c>
      <c r="L792" s="33">
        <f t="shared" si="66"/>
        <v>21.250993995636236</v>
      </c>
    </row>
    <row r="793" spans="3:12" x14ac:dyDescent="0.3">
      <c r="C793">
        <v>80.575400918023661</v>
      </c>
      <c r="D793">
        <v>68.51050233701244</v>
      </c>
      <c r="E793">
        <v>90.24504515749868</v>
      </c>
      <c r="F793">
        <v>129.9148690221773</v>
      </c>
      <c r="H793" s="33">
        <f t="shared" si="62"/>
        <v>11.508018360473216</v>
      </c>
      <c r="I793">
        <f t="shared" si="63"/>
        <v>2.9789953259751201</v>
      </c>
      <c r="J793">
        <f t="shared" si="64"/>
        <v>4.9009031499736011</v>
      </c>
      <c r="K793">
        <f t="shared" si="65"/>
        <v>0.17026195564540103</v>
      </c>
      <c r="L793" s="33">
        <f t="shared" si="66"/>
        <v>19.558178792067338</v>
      </c>
    </row>
    <row r="794" spans="3:12" x14ac:dyDescent="0.3">
      <c r="C794">
        <v>79.17382410785649</v>
      </c>
      <c r="D794">
        <v>70.282990413325024</v>
      </c>
      <c r="E794">
        <v>91.533858267066535</v>
      </c>
      <c r="F794">
        <v>130.26725956558948</v>
      </c>
      <c r="H794" s="33">
        <f t="shared" si="62"/>
        <v>1.6523517842870206</v>
      </c>
      <c r="I794">
        <f t="shared" si="63"/>
        <v>5.6598082665004767</v>
      </c>
      <c r="J794">
        <f t="shared" si="64"/>
        <v>30.677165341330692</v>
      </c>
      <c r="K794">
        <f t="shared" si="65"/>
        <v>5.3451913117896765</v>
      </c>
      <c r="L794" s="33">
        <f t="shared" si="66"/>
        <v>43.334516703907866</v>
      </c>
    </row>
    <row r="795" spans="3:12" x14ac:dyDescent="0.3">
      <c r="C795">
        <v>80.946761247178074</v>
      </c>
      <c r="D795">
        <v>68.523371687042527</v>
      </c>
      <c r="E795">
        <v>90.770621682022465</v>
      </c>
      <c r="F795">
        <v>130.68004624154128</v>
      </c>
      <c r="H795" s="33">
        <f t="shared" si="62"/>
        <v>18.935224943561479</v>
      </c>
      <c r="I795">
        <f t="shared" si="63"/>
        <v>2.9532566259149462</v>
      </c>
      <c r="J795">
        <f t="shared" si="64"/>
        <v>15.412433640449308</v>
      </c>
      <c r="K795">
        <f t="shared" si="65"/>
        <v>13.600924830825534</v>
      </c>
      <c r="L795" s="33">
        <f t="shared" si="66"/>
        <v>50.901840040751267</v>
      </c>
    </row>
    <row r="796" spans="3:12" x14ac:dyDescent="0.3">
      <c r="C796">
        <v>81.718553903629072</v>
      </c>
      <c r="D796">
        <v>70.923896550375503</v>
      </c>
      <c r="E796">
        <v>91.080509264284046</v>
      </c>
      <c r="F796">
        <v>128.74986315262504</v>
      </c>
      <c r="H796" s="33">
        <f t="shared" si="62"/>
        <v>34.37107807258144</v>
      </c>
      <c r="I796">
        <f t="shared" si="63"/>
        <v>18.477931007510051</v>
      </c>
      <c r="J796">
        <f t="shared" si="64"/>
        <v>21.610185285680927</v>
      </c>
      <c r="K796">
        <f t="shared" si="65"/>
        <v>2.5002736947499216</v>
      </c>
      <c r="L796" s="33">
        <f t="shared" si="66"/>
        <v>76.95946806052234</v>
      </c>
    </row>
    <row r="797" spans="3:12" x14ac:dyDescent="0.3">
      <c r="C797">
        <v>79.501485490327468</v>
      </c>
      <c r="D797">
        <v>70.013960743672214</v>
      </c>
      <c r="E797">
        <v>90.530651504959678</v>
      </c>
      <c r="F797">
        <v>130.54559450290981</v>
      </c>
      <c r="H797" s="33">
        <f t="shared" si="62"/>
        <v>0.99702901934506372</v>
      </c>
      <c r="I797">
        <f t="shared" si="63"/>
        <v>0.27921487344428897</v>
      </c>
      <c r="J797">
        <f t="shared" si="64"/>
        <v>10.613030099193566</v>
      </c>
      <c r="K797">
        <f t="shared" si="65"/>
        <v>10.91189005819615</v>
      </c>
      <c r="L797" s="33">
        <f t="shared" si="66"/>
        <v>22.801164050179068</v>
      </c>
    </row>
    <row r="798" spans="3:12" x14ac:dyDescent="0.3">
      <c r="C798">
        <v>79.523712403970421</v>
      </c>
      <c r="D798">
        <v>69.018784819782013</v>
      </c>
      <c r="E798">
        <v>90.563436515221838</v>
      </c>
      <c r="F798">
        <v>129.43126567814033</v>
      </c>
      <c r="H798" s="33">
        <f t="shared" si="62"/>
        <v>0.95257519205915742</v>
      </c>
      <c r="I798">
        <f t="shared" si="63"/>
        <v>1.9624303604359739</v>
      </c>
      <c r="J798">
        <f t="shared" si="64"/>
        <v>11.268730304436758</v>
      </c>
      <c r="K798">
        <f t="shared" si="65"/>
        <v>1.1374686437193304</v>
      </c>
      <c r="L798" s="33">
        <f t="shared" si="66"/>
        <v>15.32120450065122</v>
      </c>
    </row>
    <row r="799" spans="3:12" x14ac:dyDescent="0.3">
      <c r="C799">
        <v>80.706113496562466</v>
      </c>
      <c r="D799">
        <v>72.063516149064526</v>
      </c>
      <c r="E799">
        <v>89.161492496568826</v>
      </c>
      <c r="F799">
        <v>130.79640813055448</v>
      </c>
      <c r="H799" s="33">
        <f t="shared" si="62"/>
        <v>14.122269931249321</v>
      </c>
      <c r="I799">
        <f t="shared" si="63"/>
        <v>41.270322981290519</v>
      </c>
      <c r="J799">
        <f t="shared" si="64"/>
        <v>1.6770150068623479</v>
      </c>
      <c r="K799">
        <f t="shared" si="65"/>
        <v>15.928162611089647</v>
      </c>
      <c r="L799" s="33">
        <f t="shared" si="66"/>
        <v>72.997770530491835</v>
      </c>
    </row>
    <row r="800" spans="3:12" x14ac:dyDescent="0.3">
      <c r="C800">
        <v>80.145823833008762</v>
      </c>
      <c r="D800">
        <v>71.388307282468304</v>
      </c>
      <c r="E800">
        <v>89.392982772405958</v>
      </c>
      <c r="F800">
        <v>131.47006176121067</v>
      </c>
      <c r="H800" s="33">
        <f t="shared" si="62"/>
        <v>2.916476660175249</v>
      </c>
      <c r="I800">
        <f t="shared" si="63"/>
        <v>27.766145649366081</v>
      </c>
      <c r="J800">
        <f t="shared" si="64"/>
        <v>1.2140344551880844</v>
      </c>
      <c r="K800">
        <f t="shared" si="65"/>
        <v>29.401235224213451</v>
      </c>
      <c r="L800" s="33">
        <f t="shared" si="66"/>
        <v>61.297891988942865</v>
      </c>
    </row>
    <row r="801" spans="3:12" x14ac:dyDescent="0.3">
      <c r="C801">
        <v>80.531003934156615</v>
      </c>
      <c r="D801">
        <v>69.017175014159875</v>
      </c>
      <c r="E801">
        <v>90.431595026384457</v>
      </c>
      <c r="F801">
        <v>132.71986209554598</v>
      </c>
      <c r="H801" s="33">
        <f t="shared" si="62"/>
        <v>10.620078683132306</v>
      </c>
      <c r="I801">
        <f t="shared" si="63"/>
        <v>1.96564997168025</v>
      </c>
      <c r="J801">
        <f t="shared" si="64"/>
        <v>8.6319005276891403</v>
      </c>
      <c r="K801">
        <f t="shared" si="65"/>
        <v>54.397241910919547</v>
      </c>
      <c r="L801" s="33">
        <f t="shared" si="66"/>
        <v>75.614871093421243</v>
      </c>
    </row>
    <row r="802" spans="3:12" x14ac:dyDescent="0.3">
      <c r="C802">
        <v>79.735673554823734</v>
      </c>
      <c r="D802">
        <v>68.663922724517761</v>
      </c>
      <c r="E802">
        <v>90.079373876360478</v>
      </c>
      <c r="F802">
        <v>129.97479108060361</v>
      </c>
      <c r="H802" s="33">
        <f t="shared" si="62"/>
        <v>0.52865289035253227</v>
      </c>
      <c r="I802">
        <f t="shared" si="63"/>
        <v>2.6721545509644784</v>
      </c>
      <c r="J802">
        <f t="shared" si="64"/>
        <v>1.5874775272095576</v>
      </c>
      <c r="K802">
        <f t="shared" si="65"/>
        <v>5.0417838792782277E-2</v>
      </c>
      <c r="L802" s="33">
        <f t="shared" si="66"/>
        <v>4.8387028073193505</v>
      </c>
    </row>
    <row r="803" spans="3:12" x14ac:dyDescent="0.3">
      <c r="C803">
        <v>79.19695483185933</v>
      </c>
      <c r="D803">
        <v>69.516587649850408</v>
      </c>
      <c r="E803">
        <v>90.425892494604341</v>
      </c>
      <c r="F803">
        <v>131.2334339771769</v>
      </c>
      <c r="H803" s="33">
        <f t="shared" si="62"/>
        <v>1.6060903362813406</v>
      </c>
      <c r="I803">
        <f t="shared" si="63"/>
        <v>0.96682470029918477</v>
      </c>
      <c r="J803">
        <f t="shared" si="64"/>
        <v>8.5178498920868151</v>
      </c>
      <c r="K803">
        <f t="shared" si="65"/>
        <v>24.668679543538019</v>
      </c>
      <c r="L803" s="33">
        <f t="shared" si="66"/>
        <v>35.759444472205359</v>
      </c>
    </row>
    <row r="804" spans="3:12" x14ac:dyDescent="0.3">
      <c r="C804">
        <v>80.686616203893209</v>
      </c>
      <c r="D804">
        <v>68.83877990214387</v>
      </c>
      <c r="E804">
        <v>91.685662027739454</v>
      </c>
      <c r="F804">
        <v>130.35683797250385</v>
      </c>
      <c r="H804" s="33">
        <f t="shared" si="62"/>
        <v>13.732324077864178</v>
      </c>
      <c r="I804">
        <f t="shared" si="63"/>
        <v>2.3224401957122609</v>
      </c>
      <c r="J804">
        <f t="shared" si="64"/>
        <v>33.713240554789081</v>
      </c>
      <c r="K804">
        <f t="shared" si="65"/>
        <v>7.1367594500770792</v>
      </c>
      <c r="L804" s="33">
        <f t="shared" si="66"/>
        <v>56.904764278442599</v>
      </c>
    </row>
    <row r="805" spans="3:12" x14ac:dyDescent="0.3">
      <c r="C805">
        <v>80.342200792147196</v>
      </c>
      <c r="D805">
        <v>69.342342107411241</v>
      </c>
      <c r="E805">
        <v>91.327350673818728</v>
      </c>
      <c r="F805">
        <v>129.33482058622758</v>
      </c>
      <c r="H805" s="33">
        <f t="shared" si="62"/>
        <v>6.844015842943918</v>
      </c>
      <c r="I805">
        <f t="shared" si="63"/>
        <v>1.3153157851775177</v>
      </c>
      <c r="J805">
        <f t="shared" si="64"/>
        <v>26.547013476374559</v>
      </c>
      <c r="K805">
        <f t="shared" si="65"/>
        <v>1.3303588275448419</v>
      </c>
      <c r="L805" s="33">
        <f t="shared" si="66"/>
        <v>36.036703932040837</v>
      </c>
    </row>
    <row r="806" spans="3:12" x14ac:dyDescent="0.3">
      <c r="C806">
        <v>80.114268914330751</v>
      </c>
      <c r="D806">
        <v>70.517312628289801</v>
      </c>
      <c r="E806">
        <v>89.79387780513207</v>
      </c>
      <c r="F806">
        <v>129.14198042461067</v>
      </c>
      <c r="H806" s="33">
        <f t="shared" si="62"/>
        <v>2.2853782866150141</v>
      </c>
      <c r="I806">
        <f t="shared" si="63"/>
        <v>10.346252565796021</v>
      </c>
      <c r="J806">
        <f t="shared" si="64"/>
        <v>0.41224438973586075</v>
      </c>
      <c r="K806">
        <f t="shared" si="65"/>
        <v>1.7160391507786699</v>
      </c>
      <c r="L806" s="33">
        <f t="shared" si="66"/>
        <v>14.759914392925566</v>
      </c>
    </row>
    <row r="807" spans="3:12" x14ac:dyDescent="0.3">
      <c r="C807">
        <v>79.804025492267101</v>
      </c>
      <c r="D807">
        <v>70.884747350937687</v>
      </c>
      <c r="E807">
        <v>90.722602635505609</v>
      </c>
      <c r="F807">
        <v>129.86792545314529</v>
      </c>
      <c r="H807" s="33">
        <f t="shared" si="62"/>
        <v>0.39194901546579786</v>
      </c>
      <c r="I807">
        <f t="shared" si="63"/>
        <v>17.694947018753737</v>
      </c>
      <c r="J807">
        <f t="shared" si="64"/>
        <v>14.452052710112184</v>
      </c>
      <c r="K807">
        <f t="shared" si="65"/>
        <v>0.26414909370942041</v>
      </c>
      <c r="L807" s="33">
        <f t="shared" si="66"/>
        <v>32.80309783804114</v>
      </c>
    </row>
    <row r="808" spans="3:12" x14ac:dyDescent="0.3">
      <c r="C808">
        <v>80.401144006900722</v>
      </c>
      <c r="D808">
        <v>70.723596258467296</v>
      </c>
      <c r="E808">
        <v>90.276785385722178</v>
      </c>
      <c r="F808">
        <v>130.42706460590125</v>
      </c>
      <c r="H808" s="33">
        <f t="shared" si="62"/>
        <v>8.0228801380144432</v>
      </c>
      <c r="I808">
        <f t="shared" si="63"/>
        <v>14.471925169345923</v>
      </c>
      <c r="J808">
        <f t="shared" si="64"/>
        <v>5.5357077144435607</v>
      </c>
      <c r="K808">
        <f t="shared" si="65"/>
        <v>8.5412921180250123</v>
      </c>
      <c r="L808" s="33">
        <f t="shared" si="66"/>
        <v>36.571805139828939</v>
      </c>
    </row>
    <row r="809" spans="3:12" x14ac:dyDescent="0.3">
      <c r="C809">
        <v>80.728973645891529</v>
      </c>
      <c r="D809">
        <v>70.411196197092067</v>
      </c>
      <c r="E809">
        <v>89.662661593902158</v>
      </c>
      <c r="F809">
        <v>131.67312464327551</v>
      </c>
      <c r="H809" s="33">
        <f t="shared" si="62"/>
        <v>14.579472917830572</v>
      </c>
      <c r="I809">
        <f t="shared" si="63"/>
        <v>8.223923941841349</v>
      </c>
      <c r="J809">
        <f t="shared" si="64"/>
        <v>0.67467681219568476</v>
      </c>
      <c r="K809">
        <f t="shared" si="65"/>
        <v>33.462492865510285</v>
      </c>
      <c r="L809" s="33">
        <f t="shared" si="66"/>
        <v>56.94056653737789</v>
      </c>
    </row>
    <row r="810" spans="3:12" x14ac:dyDescent="0.3">
      <c r="C810">
        <v>79.438086888403632</v>
      </c>
      <c r="D810">
        <v>69.419264895550441</v>
      </c>
      <c r="E810">
        <v>91.225776031787973</v>
      </c>
      <c r="F810">
        <v>129.07973233348457</v>
      </c>
      <c r="H810" s="33">
        <f t="shared" si="62"/>
        <v>1.1238262231927365</v>
      </c>
      <c r="I810">
        <f t="shared" si="63"/>
        <v>1.161470208899118</v>
      </c>
      <c r="J810">
        <f t="shared" si="64"/>
        <v>24.515520635759458</v>
      </c>
      <c r="K810">
        <f t="shared" si="65"/>
        <v>1.8405353330308571</v>
      </c>
      <c r="L810" s="33">
        <f t="shared" si="66"/>
        <v>28.64135240088217</v>
      </c>
    </row>
    <row r="811" spans="3:12" x14ac:dyDescent="0.3">
      <c r="C811">
        <v>80.842537701828405</v>
      </c>
      <c r="D811">
        <v>69.482249677384971</v>
      </c>
      <c r="E811">
        <v>89.782689883431885</v>
      </c>
      <c r="F811">
        <v>126.93784047849476</v>
      </c>
      <c r="H811" s="33">
        <f t="shared" si="62"/>
        <v>16.850754036568105</v>
      </c>
      <c r="I811">
        <f t="shared" si="63"/>
        <v>1.0355006452300586</v>
      </c>
      <c r="J811">
        <f t="shared" si="64"/>
        <v>0.43462023313622922</v>
      </c>
      <c r="K811">
        <f t="shared" si="65"/>
        <v>6.1243190430104733</v>
      </c>
      <c r="L811" s="33">
        <f t="shared" si="66"/>
        <v>24.445193957944866</v>
      </c>
    </row>
    <row r="812" spans="3:12" x14ac:dyDescent="0.3">
      <c r="C812">
        <v>80.3517061486491</v>
      </c>
      <c r="D812">
        <v>70.503891897096764</v>
      </c>
      <c r="E812">
        <v>90.29040393201285</v>
      </c>
      <c r="F812">
        <v>129.28867509879638</v>
      </c>
      <c r="H812" s="33">
        <f t="shared" si="62"/>
        <v>7.0341229729820043</v>
      </c>
      <c r="I812">
        <f t="shared" si="63"/>
        <v>10.077837941935286</v>
      </c>
      <c r="J812">
        <f t="shared" si="64"/>
        <v>5.8080786402570084</v>
      </c>
      <c r="K812">
        <f t="shared" si="65"/>
        <v>1.4226498024072498</v>
      </c>
      <c r="L812" s="33">
        <f t="shared" si="66"/>
        <v>24.342689357581548</v>
      </c>
    </row>
    <row r="813" spans="3:12" x14ac:dyDescent="0.3">
      <c r="C813">
        <v>80.536738298251294</v>
      </c>
      <c r="D813">
        <v>69.540355020144489</v>
      </c>
      <c r="E813">
        <v>88.508410499198362</v>
      </c>
      <c r="F813">
        <v>129.47295577840123</v>
      </c>
      <c r="H813" s="33">
        <f t="shared" si="62"/>
        <v>10.734765965025872</v>
      </c>
      <c r="I813">
        <f t="shared" si="63"/>
        <v>0.91928995971102268</v>
      </c>
      <c r="J813">
        <f t="shared" si="64"/>
        <v>2.9831790016032755</v>
      </c>
      <c r="K813">
        <f t="shared" si="65"/>
        <v>1.0540884431975428</v>
      </c>
      <c r="L813" s="33">
        <f t="shared" si="66"/>
        <v>15.691323369537713</v>
      </c>
    </row>
    <row r="814" spans="3:12" x14ac:dyDescent="0.3">
      <c r="C814">
        <v>78.932969447196228</v>
      </c>
      <c r="D814">
        <v>68.045659594936296</v>
      </c>
      <c r="E814">
        <v>91.446578608010896</v>
      </c>
      <c r="F814">
        <v>130.35961079447588</v>
      </c>
      <c r="H814" s="33">
        <f t="shared" si="62"/>
        <v>2.1340611056075431</v>
      </c>
      <c r="I814">
        <f t="shared" si="63"/>
        <v>3.9086808101274073</v>
      </c>
      <c r="J814">
        <f t="shared" si="64"/>
        <v>28.931572160217911</v>
      </c>
      <c r="K814">
        <f t="shared" si="65"/>
        <v>7.1922158895176835</v>
      </c>
      <c r="L814" s="33">
        <f t="shared" si="66"/>
        <v>42.166529965470545</v>
      </c>
    </row>
    <row r="815" spans="3:12" x14ac:dyDescent="0.3">
      <c r="C815">
        <v>79.434679693877115</v>
      </c>
      <c r="D815">
        <v>70.378363438358065</v>
      </c>
      <c r="E815">
        <v>88.332123141153716</v>
      </c>
      <c r="F815">
        <v>127.99861143401358</v>
      </c>
      <c r="H815" s="33">
        <f t="shared" si="62"/>
        <v>1.1306406122457702</v>
      </c>
      <c r="I815">
        <f t="shared" si="63"/>
        <v>7.5672687671612948</v>
      </c>
      <c r="J815">
        <f t="shared" si="64"/>
        <v>3.3357537176925689</v>
      </c>
      <c r="K815">
        <f t="shared" si="65"/>
        <v>4.0027771319728345</v>
      </c>
      <c r="L815" s="33">
        <f t="shared" si="66"/>
        <v>16.036440229072468</v>
      </c>
    </row>
    <row r="816" spans="3:12" x14ac:dyDescent="0.3">
      <c r="C816">
        <v>81.037749370880192</v>
      </c>
      <c r="D816">
        <v>70.17884644876176</v>
      </c>
      <c r="E816">
        <v>88.197936292854138</v>
      </c>
      <c r="F816">
        <v>129.25758970675815</v>
      </c>
      <c r="H816" s="33">
        <f t="shared" si="62"/>
        <v>20.754987417603843</v>
      </c>
      <c r="I816">
        <f t="shared" si="63"/>
        <v>3.5769289752352051</v>
      </c>
      <c r="J816">
        <f t="shared" si="64"/>
        <v>3.6041274142917246</v>
      </c>
      <c r="K816">
        <f t="shared" si="65"/>
        <v>1.4848205864836928</v>
      </c>
      <c r="L816" s="33">
        <f t="shared" si="66"/>
        <v>29.420864393614465</v>
      </c>
    </row>
    <row r="817" spans="3:12" x14ac:dyDescent="0.3">
      <c r="C817">
        <v>80.165957771969261</v>
      </c>
      <c r="D817">
        <v>72.74216290563345</v>
      </c>
      <c r="E817">
        <v>89.118867890501861</v>
      </c>
      <c r="F817">
        <v>129.57636873659794</v>
      </c>
      <c r="H817" s="33">
        <f t="shared" si="62"/>
        <v>3.319155439385213</v>
      </c>
      <c r="I817">
        <f t="shared" si="63"/>
        <v>54.843258112668991</v>
      </c>
      <c r="J817">
        <f t="shared" si="64"/>
        <v>1.7622642189962789</v>
      </c>
      <c r="K817">
        <f t="shared" si="65"/>
        <v>0.84726252680411562</v>
      </c>
      <c r="L817" s="33">
        <f t="shared" si="66"/>
        <v>60.771940297854599</v>
      </c>
    </row>
    <row r="818" spans="3:12" x14ac:dyDescent="0.3">
      <c r="C818">
        <v>80.071855765781947</v>
      </c>
      <c r="D818">
        <v>71.486951077822596</v>
      </c>
      <c r="E818">
        <v>89.599601778754732</v>
      </c>
      <c r="F818">
        <v>132.13780367630534</v>
      </c>
      <c r="H818" s="33">
        <f t="shared" si="62"/>
        <v>1.4371153156389482</v>
      </c>
      <c r="I818">
        <f t="shared" si="63"/>
        <v>29.739021556451917</v>
      </c>
      <c r="J818">
        <f t="shared" si="64"/>
        <v>0.80079644249053672</v>
      </c>
      <c r="K818">
        <f t="shared" si="65"/>
        <v>42.756073526106775</v>
      </c>
      <c r="L818" s="33">
        <f t="shared" si="66"/>
        <v>74.733006840688176</v>
      </c>
    </row>
    <row r="819" spans="3:12" x14ac:dyDescent="0.3">
      <c r="C819">
        <v>80.860898126120446</v>
      </c>
      <c r="D819">
        <v>70.211360884350142</v>
      </c>
      <c r="E819">
        <v>90.325458131555934</v>
      </c>
      <c r="F819">
        <v>129.14396767053404</v>
      </c>
      <c r="H819" s="33">
        <f t="shared" si="62"/>
        <v>17.217962522408925</v>
      </c>
      <c r="I819">
        <f t="shared" si="63"/>
        <v>4.2272176870028488</v>
      </c>
      <c r="J819">
        <f t="shared" si="64"/>
        <v>6.5091626311186701</v>
      </c>
      <c r="K819">
        <f t="shared" si="65"/>
        <v>1.7120646589319222</v>
      </c>
      <c r="L819" s="33">
        <f t="shared" si="66"/>
        <v>29.666407499462366</v>
      </c>
    </row>
    <row r="820" spans="3:12" x14ac:dyDescent="0.3">
      <c r="C820">
        <v>79.998354951458168</v>
      </c>
      <c r="D820">
        <v>69.94922177393164</v>
      </c>
      <c r="E820">
        <v>89.311155534087447</v>
      </c>
      <c r="F820">
        <v>129.76251501720981</v>
      </c>
      <c r="H820" s="33">
        <f t="shared" si="62"/>
        <v>3.2900970836635679E-3</v>
      </c>
      <c r="I820">
        <f t="shared" si="63"/>
        <v>0.1015564521367196</v>
      </c>
      <c r="J820">
        <f t="shared" si="64"/>
        <v>1.3776889318251051</v>
      </c>
      <c r="K820">
        <f t="shared" si="65"/>
        <v>0.47496996558038518</v>
      </c>
      <c r="L820" s="33">
        <f t="shared" si="66"/>
        <v>1.9575054466258734</v>
      </c>
    </row>
    <row r="821" spans="3:12" x14ac:dyDescent="0.3">
      <c r="C821">
        <v>79.44032538223837</v>
      </c>
      <c r="D821">
        <v>68.545536072924733</v>
      </c>
      <c r="E821">
        <v>89.606224037052016</v>
      </c>
      <c r="F821">
        <v>130.81621010394883</v>
      </c>
      <c r="H821" s="33">
        <f t="shared" si="62"/>
        <v>1.1193492355232593</v>
      </c>
      <c r="I821">
        <f t="shared" si="63"/>
        <v>2.9089278541505337</v>
      </c>
      <c r="J821">
        <f t="shared" si="64"/>
        <v>0.78755192589596845</v>
      </c>
      <c r="K821">
        <f t="shared" si="65"/>
        <v>16.324202078976668</v>
      </c>
      <c r="L821" s="33">
        <f t="shared" si="66"/>
        <v>21.14003109454643</v>
      </c>
    </row>
    <row r="822" spans="3:12" x14ac:dyDescent="0.3">
      <c r="C822">
        <v>79.955425664666109</v>
      </c>
      <c r="D822">
        <v>69.826669636604493</v>
      </c>
      <c r="E822">
        <v>90.270273403657484</v>
      </c>
      <c r="F822">
        <v>129.76558228809154</v>
      </c>
      <c r="H822" s="33">
        <f t="shared" si="62"/>
        <v>8.9148670667782426E-2</v>
      </c>
      <c r="I822">
        <f t="shared" si="63"/>
        <v>0.34666072679101489</v>
      </c>
      <c r="J822">
        <f t="shared" si="64"/>
        <v>5.4054680731496774</v>
      </c>
      <c r="K822">
        <f t="shared" si="65"/>
        <v>0.46883542381692678</v>
      </c>
      <c r="L822" s="33">
        <f t="shared" si="66"/>
        <v>6.3101128944254015</v>
      </c>
    </row>
    <row r="823" spans="3:12" x14ac:dyDescent="0.3">
      <c r="C823">
        <v>79.177155132201733</v>
      </c>
      <c r="D823">
        <v>69.992617176758358</v>
      </c>
      <c r="E823">
        <v>89.610354279866442</v>
      </c>
      <c r="F823">
        <v>129.3659957908676</v>
      </c>
      <c r="H823" s="33">
        <f t="shared" si="62"/>
        <v>1.6456897355965339</v>
      </c>
      <c r="I823">
        <f t="shared" si="63"/>
        <v>1.476564648328349E-2</v>
      </c>
      <c r="J823">
        <f t="shared" si="64"/>
        <v>0.77929144026711583</v>
      </c>
      <c r="K823">
        <f t="shared" si="65"/>
        <v>1.2680084182647988</v>
      </c>
      <c r="L823" s="33">
        <f t="shared" si="66"/>
        <v>3.707755240611732</v>
      </c>
    </row>
    <row r="824" spans="3:12" x14ac:dyDescent="0.3">
      <c r="C824">
        <v>80.412112513004104</v>
      </c>
      <c r="D824">
        <v>70.567745246371487</v>
      </c>
      <c r="E824">
        <v>89.806209416419733</v>
      </c>
      <c r="F824">
        <v>128.1055771058891</v>
      </c>
      <c r="H824" s="33">
        <f t="shared" si="62"/>
        <v>8.2422502600820735</v>
      </c>
      <c r="I824">
        <f t="shared" si="63"/>
        <v>11.354904927429743</v>
      </c>
      <c r="J824">
        <f t="shared" si="64"/>
        <v>0.38758116716053337</v>
      </c>
      <c r="K824">
        <f t="shared" si="65"/>
        <v>3.7888457882218063</v>
      </c>
      <c r="L824" s="33">
        <f t="shared" si="66"/>
        <v>23.773582142894156</v>
      </c>
    </row>
    <row r="825" spans="3:12" x14ac:dyDescent="0.3">
      <c r="C825">
        <v>79.468202531716088</v>
      </c>
      <c r="D825">
        <v>70.852066932566231</v>
      </c>
      <c r="E825">
        <v>89.190390553849284</v>
      </c>
      <c r="F825">
        <v>131.53908786160173</v>
      </c>
      <c r="H825" s="33">
        <f t="shared" si="62"/>
        <v>1.0635949365678243</v>
      </c>
      <c r="I825">
        <f t="shared" si="63"/>
        <v>17.041338651324622</v>
      </c>
      <c r="J825">
        <f t="shared" si="64"/>
        <v>1.6192188923014328</v>
      </c>
      <c r="K825">
        <f t="shared" si="65"/>
        <v>30.781757232034579</v>
      </c>
      <c r="L825" s="33">
        <f t="shared" si="66"/>
        <v>50.505909712228458</v>
      </c>
    </row>
    <row r="826" spans="3:12" x14ac:dyDescent="0.3">
      <c r="C826">
        <v>79.367212240031222</v>
      </c>
      <c r="D826">
        <v>71.040900770021835</v>
      </c>
      <c r="E826">
        <v>90.216605258174241</v>
      </c>
      <c r="F826">
        <v>129.92461653164355</v>
      </c>
      <c r="H826" s="33">
        <f t="shared" si="62"/>
        <v>1.2655755199375562</v>
      </c>
      <c r="I826">
        <f t="shared" si="63"/>
        <v>20.818015400436707</v>
      </c>
      <c r="J826">
        <f t="shared" si="64"/>
        <v>4.3321051634848118</v>
      </c>
      <c r="K826">
        <f t="shared" si="65"/>
        <v>0.15076693671289831</v>
      </c>
      <c r="L826" s="33">
        <f t="shared" si="66"/>
        <v>26.566463020571973</v>
      </c>
    </row>
    <row r="827" spans="3:12" x14ac:dyDescent="0.3">
      <c r="C827">
        <v>80.207842276722658</v>
      </c>
      <c r="D827">
        <v>70.413610905525275</v>
      </c>
      <c r="E827">
        <v>89.892581854510354</v>
      </c>
      <c r="F827">
        <v>131.71288775163703</v>
      </c>
      <c r="H827" s="33">
        <f t="shared" si="62"/>
        <v>4.1568455344531685</v>
      </c>
      <c r="I827">
        <f t="shared" si="63"/>
        <v>8.2722181105054915</v>
      </c>
      <c r="J827">
        <f t="shared" si="64"/>
        <v>0.21483629097929224</v>
      </c>
      <c r="K827">
        <f t="shared" si="65"/>
        <v>34.257755032740533</v>
      </c>
      <c r="L827" s="33">
        <f t="shared" si="66"/>
        <v>46.901654968678486</v>
      </c>
    </row>
    <row r="828" spans="3:12" x14ac:dyDescent="0.3">
      <c r="C828">
        <v>81.377952685288619</v>
      </c>
      <c r="D828">
        <v>69.16040451353183</v>
      </c>
      <c r="E828">
        <v>90.597203779761912</v>
      </c>
      <c r="F828">
        <v>129.05849563219817</v>
      </c>
      <c r="H828" s="33">
        <f t="shared" si="62"/>
        <v>27.559053705772385</v>
      </c>
      <c r="I828">
        <f t="shared" si="63"/>
        <v>1.6791909729363397</v>
      </c>
      <c r="J828">
        <f t="shared" si="64"/>
        <v>11.944075595238246</v>
      </c>
      <c r="K828">
        <f t="shared" si="65"/>
        <v>1.8830087356036529</v>
      </c>
      <c r="L828" s="33">
        <f t="shared" si="66"/>
        <v>43.065329009550624</v>
      </c>
    </row>
    <row r="829" spans="3:12" x14ac:dyDescent="0.3">
      <c r="C829">
        <v>80.588267994316993</v>
      </c>
      <c r="D829">
        <v>70.485562168250908</v>
      </c>
      <c r="E829">
        <v>88.81069925322663</v>
      </c>
      <c r="F829">
        <v>129.24044914223487</v>
      </c>
      <c r="H829" s="33">
        <f t="shared" si="62"/>
        <v>11.765359886339866</v>
      </c>
      <c r="I829">
        <f t="shared" si="63"/>
        <v>9.7112433650181629</v>
      </c>
      <c r="J829">
        <f t="shared" si="64"/>
        <v>2.3786014935467392</v>
      </c>
      <c r="K829">
        <f t="shared" si="65"/>
        <v>1.5191017155302688</v>
      </c>
      <c r="L829" s="33">
        <f t="shared" si="66"/>
        <v>25.374306460435037</v>
      </c>
    </row>
    <row r="830" spans="3:12" x14ac:dyDescent="0.3">
      <c r="C830">
        <v>79.621472852595616</v>
      </c>
      <c r="D830">
        <v>69.685171587771038</v>
      </c>
      <c r="E830">
        <v>89.562182892987039</v>
      </c>
      <c r="F830">
        <v>129.42026079224888</v>
      </c>
      <c r="H830" s="33">
        <f t="shared" si="62"/>
        <v>0.75705429480876774</v>
      </c>
      <c r="I830">
        <f t="shared" si="63"/>
        <v>0.62965682445792481</v>
      </c>
      <c r="J830">
        <f t="shared" si="64"/>
        <v>0.87563421402592212</v>
      </c>
      <c r="K830">
        <f t="shared" si="65"/>
        <v>1.1594784155022353</v>
      </c>
      <c r="L830" s="33">
        <f t="shared" si="66"/>
        <v>3.42182374879485</v>
      </c>
    </row>
    <row r="831" spans="3:12" x14ac:dyDescent="0.3">
      <c r="C831">
        <v>79.772653609397821</v>
      </c>
      <c r="D831">
        <v>71.811849870136939</v>
      </c>
      <c r="E831">
        <v>88.658108779636677</v>
      </c>
      <c r="F831">
        <v>128.37713403394446</v>
      </c>
      <c r="H831" s="33">
        <f t="shared" si="62"/>
        <v>0.45469278120435774</v>
      </c>
      <c r="I831">
        <f t="shared" si="63"/>
        <v>36.23699740273878</v>
      </c>
      <c r="J831">
        <f t="shared" si="64"/>
        <v>2.6837824407266453</v>
      </c>
      <c r="K831">
        <f t="shared" si="65"/>
        <v>3.2457319321110845</v>
      </c>
      <c r="L831" s="33">
        <f t="shared" si="66"/>
        <v>42.621204556780867</v>
      </c>
    </row>
    <row r="832" spans="3:12" x14ac:dyDescent="0.3">
      <c r="C832">
        <v>80.260288288700394</v>
      </c>
      <c r="D832">
        <v>69.797237251186743</v>
      </c>
      <c r="E832">
        <v>89.740659859526204</v>
      </c>
      <c r="F832">
        <v>130.52361883717822</v>
      </c>
      <c r="H832" s="33">
        <f t="shared" si="62"/>
        <v>5.2057657740078866</v>
      </c>
      <c r="I832">
        <f t="shared" si="63"/>
        <v>0.40552549762651324</v>
      </c>
      <c r="J832">
        <f t="shared" si="64"/>
        <v>0.51868028094759211</v>
      </c>
      <c r="K832">
        <f t="shared" si="65"/>
        <v>10.472376743564382</v>
      </c>
      <c r="L832" s="33">
        <f t="shared" si="66"/>
        <v>16.602348296146374</v>
      </c>
    </row>
    <row r="833" spans="3:12" x14ac:dyDescent="0.3">
      <c r="C833">
        <v>80.79305209510494</v>
      </c>
      <c r="D833">
        <v>69.488363755517639</v>
      </c>
      <c r="E833">
        <v>91.102155238186242</v>
      </c>
      <c r="F833">
        <v>127.16033926233649</v>
      </c>
      <c r="H833" s="33">
        <f t="shared" si="62"/>
        <v>15.861041902098805</v>
      </c>
      <c r="I833">
        <f t="shared" si="63"/>
        <v>1.0232724889647216</v>
      </c>
      <c r="J833">
        <f t="shared" si="64"/>
        <v>22.043104763724841</v>
      </c>
      <c r="K833">
        <f t="shared" si="65"/>
        <v>5.6793214753270149</v>
      </c>
      <c r="L833" s="33">
        <f t="shared" si="66"/>
        <v>44.606740630115382</v>
      </c>
    </row>
    <row r="834" spans="3:12" x14ac:dyDescent="0.3">
      <c r="C834">
        <v>81.181117568194168</v>
      </c>
      <c r="D834">
        <v>70.45268279791344</v>
      </c>
      <c r="E834">
        <v>89.62410129228374</v>
      </c>
      <c r="F834">
        <v>129.93757455740706</v>
      </c>
      <c r="H834" s="33">
        <f t="shared" si="62"/>
        <v>23.622351363883354</v>
      </c>
      <c r="I834">
        <f t="shared" si="63"/>
        <v>9.0536559582687914</v>
      </c>
      <c r="J834">
        <f t="shared" si="64"/>
        <v>0.75179741543252021</v>
      </c>
      <c r="K834">
        <f t="shared" si="65"/>
        <v>0.12485088518587872</v>
      </c>
      <c r="L834" s="33">
        <f t="shared" si="66"/>
        <v>33.552655622770544</v>
      </c>
    </row>
    <row r="835" spans="3:12" x14ac:dyDescent="0.3">
      <c r="C835">
        <v>79.673655111109838</v>
      </c>
      <c r="D835">
        <v>70.460750015918165</v>
      </c>
      <c r="E835">
        <v>90.078453012974933</v>
      </c>
      <c r="F835">
        <v>128.52993823878933</v>
      </c>
      <c r="H835" s="33">
        <f t="shared" si="62"/>
        <v>0.65268977778032422</v>
      </c>
      <c r="I835">
        <f t="shared" si="63"/>
        <v>9.2150003183633089</v>
      </c>
      <c r="J835">
        <f t="shared" si="64"/>
        <v>1.5690602594986558</v>
      </c>
      <c r="K835">
        <f t="shared" si="65"/>
        <v>2.9401235224213451</v>
      </c>
      <c r="L835" s="33">
        <f t="shared" si="66"/>
        <v>14.376873878063634</v>
      </c>
    </row>
    <row r="836" spans="3:12" x14ac:dyDescent="0.3">
      <c r="C836">
        <v>81.504745341662783</v>
      </c>
      <c r="D836">
        <v>69.380612507593469</v>
      </c>
      <c r="E836">
        <v>90.317080548484228</v>
      </c>
      <c r="F836">
        <v>129.39840108709177</v>
      </c>
      <c r="H836" s="33">
        <f t="shared" si="62"/>
        <v>30.094906833255664</v>
      </c>
      <c r="I836">
        <f t="shared" si="63"/>
        <v>1.2387749848130625</v>
      </c>
      <c r="J836">
        <f t="shared" si="64"/>
        <v>6.3416109696845524</v>
      </c>
      <c r="K836">
        <f t="shared" si="65"/>
        <v>1.20319782581646</v>
      </c>
      <c r="L836" s="33">
        <f t="shared" si="66"/>
        <v>38.878490613569738</v>
      </c>
    </row>
    <row r="837" spans="3:12" x14ac:dyDescent="0.3">
      <c r="C837">
        <v>80.144045770866796</v>
      </c>
      <c r="D837">
        <v>69.701608430768829</v>
      </c>
      <c r="E837">
        <v>89.450762970809592</v>
      </c>
      <c r="F837">
        <v>128.70073679630877</v>
      </c>
      <c r="H837" s="33">
        <f t="shared" si="62"/>
        <v>2.8809154173359275</v>
      </c>
      <c r="I837">
        <f t="shared" si="63"/>
        <v>0.59678313846234232</v>
      </c>
      <c r="J837">
        <f t="shared" si="64"/>
        <v>1.0984740583808161</v>
      </c>
      <c r="K837">
        <f t="shared" si="65"/>
        <v>2.598526407382451</v>
      </c>
      <c r="L837" s="33">
        <f t="shared" si="66"/>
        <v>7.1746990215615369</v>
      </c>
    </row>
    <row r="838" spans="3:12" x14ac:dyDescent="0.3">
      <c r="C838">
        <v>78.060420693946071</v>
      </c>
      <c r="D838">
        <v>70.95953282652772</v>
      </c>
      <c r="E838">
        <v>89.934968855086481</v>
      </c>
      <c r="F838">
        <v>130.32013872441894</v>
      </c>
      <c r="H838" s="33">
        <f t="shared" si="62"/>
        <v>3.8791586121078581</v>
      </c>
      <c r="I838">
        <f t="shared" si="63"/>
        <v>19.190656530554406</v>
      </c>
      <c r="J838">
        <f t="shared" si="64"/>
        <v>0.1300622898270376</v>
      </c>
      <c r="K838">
        <f t="shared" si="65"/>
        <v>6.4027744883787818</v>
      </c>
      <c r="L838" s="33">
        <f t="shared" si="66"/>
        <v>29.602651920868084</v>
      </c>
    </row>
    <row r="839" spans="3:12" x14ac:dyDescent="0.3">
      <c r="C839">
        <v>79.492022197955521</v>
      </c>
      <c r="D839">
        <v>69.337014742195606</v>
      </c>
      <c r="E839">
        <v>90.863783498061821</v>
      </c>
      <c r="F839">
        <v>130.41686348595249</v>
      </c>
      <c r="H839" s="33">
        <f t="shared" si="62"/>
        <v>1.0159556040889584</v>
      </c>
      <c r="I839">
        <f t="shared" si="63"/>
        <v>1.3259705156087875</v>
      </c>
      <c r="J839">
        <f t="shared" si="64"/>
        <v>17.275669961236417</v>
      </c>
      <c r="K839">
        <f t="shared" si="65"/>
        <v>8.3372697190498002</v>
      </c>
      <c r="L839" s="33">
        <f t="shared" si="66"/>
        <v>27.954865799983963</v>
      </c>
    </row>
    <row r="840" spans="3:12" x14ac:dyDescent="0.3">
      <c r="C840">
        <v>80.820914465293754</v>
      </c>
      <c r="D840">
        <v>70.636905497231055</v>
      </c>
      <c r="E840">
        <v>89.685171587771038</v>
      </c>
      <c r="F840">
        <v>129.58113335196686</v>
      </c>
      <c r="H840" s="33">
        <f t="shared" si="62"/>
        <v>16.418289305875078</v>
      </c>
      <c r="I840">
        <f t="shared" si="63"/>
        <v>12.738109944621101</v>
      </c>
      <c r="J840">
        <f t="shared" si="64"/>
        <v>0.62965682445792481</v>
      </c>
      <c r="K840">
        <f t="shared" si="65"/>
        <v>0.83773329606628977</v>
      </c>
      <c r="L840" s="33">
        <f t="shared" si="66"/>
        <v>30.623789371020393</v>
      </c>
    </row>
    <row r="841" spans="3:12" x14ac:dyDescent="0.3">
      <c r="C841">
        <v>80.494706000608858</v>
      </c>
      <c r="D841">
        <v>69.649839992343914</v>
      </c>
      <c r="E841">
        <v>91.020730451273266</v>
      </c>
      <c r="F841">
        <v>130.01832177076722</v>
      </c>
      <c r="H841" s="33">
        <f t="shared" si="62"/>
        <v>9.8941200121771544</v>
      </c>
      <c r="I841">
        <f t="shared" si="63"/>
        <v>0.70032001531217247</v>
      </c>
      <c r="J841">
        <f t="shared" si="64"/>
        <v>20.414609025465325</v>
      </c>
      <c r="K841">
        <f t="shared" si="65"/>
        <v>0.36643541534431279</v>
      </c>
      <c r="L841" s="33">
        <f t="shared" si="66"/>
        <v>31.375484468298964</v>
      </c>
    </row>
    <row r="842" spans="3:12" x14ac:dyDescent="0.3">
      <c r="C842">
        <v>79.739711711299606</v>
      </c>
      <c r="D842">
        <v>70.703857949702069</v>
      </c>
      <c r="E842">
        <v>90.685261056787567</v>
      </c>
      <c r="F842">
        <v>129.33777644400834</v>
      </c>
      <c r="H842" s="33">
        <f t="shared" si="62"/>
        <v>0.52057657740078866</v>
      </c>
      <c r="I842">
        <f t="shared" si="63"/>
        <v>14.077158994041383</v>
      </c>
      <c r="J842">
        <f t="shared" si="64"/>
        <v>13.705221135751344</v>
      </c>
      <c r="K842">
        <f t="shared" si="65"/>
        <v>1.3244471119833179</v>
      </c>
      <c r="L842" s="33">
        <f t="shared" si="66"/>
        <v>29.627403819176834</v>
      </c>
    </row>
    <row r="843" spans="3:12" x14ac:dyDescent="0.3">
      <c r="C843">
        <v>79.020765244495124</v>
      </c>
      <c r="D843">
        <v>70.642349959889543</v>
      </c>
      <c r="E843">
        <v>87.456870914902538</v>
      </c>
      <c r="F843">
        <v>129.15866283117794</v>
      </c>
      <c r="H843" s="33">
        <f t="shared" si="62"/>
        <v>1.9584695110097528</v>
      </c>
      <c r="I843">
        <f t="shared" si="63"/>
        <v>12.846999197790865</v>
      </c>
      <c r="J843">
        <f t="shared" si="64"/>
        <v>5.0862581701949239</v>
      </c>
      <c r="K843">
        <f t="shared" si="65"/>
        <v>1.68267433764413</v>
      </c>
      <c r="L843" s="33">
        <f t="shared" si="66"/>
        <v>21.574401216639671</v>
      </c>
    </row>
    <row r="844" spans="3:12" x14ac:dyDescent="0.3">
      <c r="C844">
        <v>79.95075313563575</v>
      </c>
      <c r="D844">
        <v>70.995426034933189</v>
      </c>
      <c r="E844">
        <v>88.435932866414078</v>
      </c>
      <c r="F844">
        <v>129.86352463565709</v>
      </c>
      <c r="H844" s="33">
        <f t="shared" si="62"/>
        <v>9.8493728728499264E-2</v>
      </c>
      <c r="I844">
        <f t="shared" si="63"/>
        <v>19.908520698663779</v>
      </c>
      <c r="J844">
        <f t="shared" si="64"/>
        <v>3.1281342671718448</v>
      </c>
      <c r="K844">
        <f t="shared" si="65"/>
        <v>0.27295072868582793</v>
      </c>
      <c r="L844" s="33">
        <f t="shared" si="66"/>
        <v>23.408099423249951</v>
      </c>
    </row>
    <row r="845" spans="3:12" x14ac:dyDescent="0.3">
      <c r="C845">
        <v>79.556957845925353</v>
      </c>
      <c r="D845">
        <v>69.380612507593469</v>
      </c>
      <c r="E845">
        <v>90.770518227000139</v>
      </c>
      <c r="F845">
        <v>128.12188434589189</v>
      </c>
      <c r="H845" s="33">
        <f t="shared" si="62"/>
        <v>0.88608430814929307</v>
      </c>
      <c r="I845">
        <f t="shared" si="63"/>
        <v>1.2387749848130625</v>
      </c>
      <c r="J845">
        <f t="shared" si="64"/>
        <v>15.410364540002774</v>
      </c>
      <c r="K845">
        <f t="shared" si="65"/>
        <v>3.7562313082162291</v>
      </c>
      <c r="L845" s="33">
        <f t="shared" si="66"/>
        <v>21.291455141181359</v>
      </c>
    </row>
    <row r="846" spans="3:12" x14ac:dyDescent="0.3">
      <c r="C846">
        <v>81.647031240281649</v>
      </c>
      <c r="D846">
        <v>70.619295406067977</v>
      </c>
      <c r="E846">
        <v>90.113576561489026</v>
      </c>
      <c r="F846">
        <v>128.66690359340282</v>
      </c>
      <c r="H846" s="33">
        <f t="shared" si="62"/>
        <v>32.940624805632979</v>
      </c>
      <c r="I846">
        <f t="shared" si="63"/>
        <v>12.385908121359535</v>
      </c>
      <c r="J846">
        <f t="shared" si="64"/>
        <v>2.2715312297805212</v>
      </c>
      <c r="K846">
        <f t="shared" si="65"/>
        <v>2.6661928131943569</v>
      </c>
      <c r="L846" s="33">
        <f t="shared" si="66"/>
        <v>50.264256969967391</v>
      </c>
    </row>
    <row r="847" spans="3:12" x14ac:dyDescent="0.3">
      <c r="C847">
        <v>79.745483592050732</v>
      </c>
      <c r="D847">
        <v>70.816210103948833</v>
      </c>
      <c r="E847">
        <v>89.3448091117898</v>
      </c>
      <c r="F847">
        <v>130.32715206543799</v>
      </c>
      <c r="H847" s="33">
        <f t="shared" si="62"/>
        <v>0.50903281589853577</v>
      </c>
      <c r="I847">
        <f t="shared" si="63"/>
        <v>16.324202078976668</v>
      </c>
      <c r="J847">
        <f t="shared" si="64"/>
        <v>1.3103817764203995</v>
      </c>
      <c r="K847">
        <f t="shared" si="65"/>
        <v>6.5430413087597117</v>
      </c>
      <c r="L847" s="33">
        <f t="shared" si="66"/>
        <v>24.686657980055315</v>
      </c>
    </row>
    <row r="848" spans="3:12" x14ac:dyDescent="0.3">
      <c r="C848">
        <v>79.044339347165078</v>
      </c>
      <c r="D848">
        <v>70.42849023884628</v>
      </c>
      <c r="E848">
        <v>89.252440829877742</v>
      </c>
      <c r="F848">
        <v>131.10835571831558</v>
      </c>
      <c r="H848" s="33">
        <f t="shared" si="62"/>
        <v>1.9113213056698442</v>
      </c>
      <c r="I848">
        <f t="shared" si="63"/>
        <v>8.5698047769255936</v>
      </c>
      <c r="J848">
        <f t="shared" si="64"/>
        <v>1.4951183402445167</v>
      </c>
      <c r="K848">
        <f t="shared" si="65"/>
        <v>22.16711436631158</v>
      </c>
      <c r="L848" s="33">
        <f t="shared" si="66"/>
        <v>34.143358789151534</v>
      </c>
    </row>
    <row r="849" spans="3:12" x14ac:dyDescent="0.3">
      <c r="C849">
        <v>80.956747499003541</v>
      </c>
      <c r="D849">
        <v>68.896016677463194</v>
      </c>
      <c r="E849">
        <v>88.805874383833725</v>
      </c>
      <c r="F849">
        <v>128.58305272937287</v>
      </c>
      <c r="H849" s="33">
        <f t="shared" si="62"/>
        <v>19.134949980070814</v>
      </c>
      <c r="I849">
        <f t="shared" si="63"/>
        <v>2.2079666450736113</v>
      </c>
      <c r="J849">
        <f t="shared" si="64"/>
        <v>2.38825123233255</v>
      </c>
      <c r="K849">
        <f t="shared" si="65"/>
        <v>2.8338945412542671</v>
      </c>
      <c r="L849" s="33">
        <f t="shared" si="66"/>
        <v>26.565062398731243</v>
      </c>
    </row>
    <row r="850" spans="3:12" x14ac:dyDescent="0.3">
      <c r="C850">
        <v>79.891042534727603</v>
      </c>
      <c r="D850">
        <v>69.170158844208345</v>
      </c>
      <c r="E850">
        <v>89.152105374378152</v>
      </c>
      <c r="F850">
        <v>130.66756683736457</v>
      </c>
      <c r="H850" s="33">
        <f t="shared" si="62"/>
        <v>0.21791493054479361</v>
      </c>
      <c r="I850">
        <f t="shared" si="63"/>
        <v>1.6596823115833104</v>
      </c>
      <c r="J850">
        <f t="shared" si="64"/>
        <v>1.6957892512436956</v>
      </c>
      <c r="K850">
        <f t="shared" si="65"/>
        <v>13.351336747291498</v>
      </c>
      <c r="L850" s="33">
        <f t="shared" si="66"/>
        <v>16.924723240663297</v>
      </c>
    </row>
    <row r="851" spans="3:12" x14ac:dyDescent="0.3">
      <c r="C851">
        <v>80.475602064398117</v>
      </c>
      <c r="D851">
        <v>71.047365003614686</v>
      </c>
      <c r="E851">
        <v>90.640188773104455</v>
      </c>
      <c r="F851">
        <v>128.53218923817622</v>
      </c>
      <c r="H851" s="33">
        <f t="shared" si="62"/>
        <v>9.5120412879623473</v>
      </c>
      <c r="I851">
        <f t="shared" si="63"/>
        <v>20.947300072293729</v>
      </c>
      <c r="J851">
        <f t="shared" si="64"/>
        <v>12.803775462089106</v>
      </c>
      <c r="K851">
        <f t="shared" si="65"/>
        <v>2.9356215236475691</v>
      </c>
      <c r="L851" s="33">
        <f t="shared" si="66"/>
        <v>46.198738345992751</v>
      </c>
    </row>
    <row r="852" spans="3:12" x14ac:dyDescent="0.3">
      <c r="C852">
        <v>79.74263801050256</v>
      </c>
      <c r="D852">
        <v>72.962478902190924</v>
      </c>
      <c r="E852">
        <v>88.998403043515282</v>
      </c>
      <c r="F852">
        <v>131.06743527794606</v>
      </c>
      <c r="H852" s="33">
        <f t="shared" si="62"/>
        <v>0.51472397899487987</v>
      </c>
      <c r="I852">
        <f t="shared" si="63"/>
        <v>59.249578043818474</v>
      </c>
      <c r="J852">
        <f t="shared" si="64"/>
        <v>2.0031939129694365</v>
      </c>
      <c r="K852">
        <f t="shared" si="65"/>
        <v>21.34870555892121</v>
      </c>
      <c r="L852" s="33">
        <f t="shared" si="66"/>
        <v>83.116201494704001</v>
      </c>
    </row>
    <row r="853" spans="3:12" x14ac:dyDescent="0.3">
      <c r="C853">
        <v>79.872707121539861</v>
      </c>
      <c r="D853">
        <v>70.866007212607656</v>
      </c>
      <c r="E853">
        <v>88.527455318253487</v>
      </c>
      <c r="F853">
        <v>129.94224936017417</v>
      </c>
      <c r="H853" s="33">
        <f t="shared" si="62"/>
        <v>0.25458575692027807</v>
      </c>
      <c r="I853">
        <f t="shared" si="63"/>
        <v>17.320144252153113</v>
      </c>
      <c r="J853">
        <f t="shared" si="64"/>
        <v>2.9450893634930253</v>
      </c>
      <c r="K853">
        <f t="shared" si="65"/>
        <v>0.11550127965165302</v>
      </c>
      <c r="L853" s="33">
        <f t="shared" si="66"/>
        <v>20.63532065221807</v>
      </c>
    </row>
    <row r="854" spans="3:12" x14ac:dyDescent="0.3">
      <c r="C854">
        <v>78.462162693613209</v>
      </c>
      <c r="D854">
        <v>70.158361217472702</v>
      </c>
      <c r="E854">
        <v>89.849690084374743</v>
      </c>
      <c r="F854">
        <v>129.86607235769043</v>
      </c>
      <c r="H854" s="33">
        <f t="shared" si="62"/>
        <v>3.0756746127735823</v>
      </c>
      <c r="I854">
        <f t="shared" si="63"/>
        <v>3.1672243494540453</v>
      </c>
      <c r="J854">
        <f t="shared" si="64"/>
        <v>0.30061983125051484</v>
      </c>
      <c r="K854">
        <f t="shared" si="65"/>
        <v>0.2678552846191451</v>
      </c>
      <c r="L854" s="33">
        <f t="shared" si="66"/>
        <v>6.8113740780972876</v>
      </c>
    </row>
    <row r="855" spans="3:12" x14ac:dyDescent="0.3">
      <c r="C855">
        <v>79.61785306368256</v>
      </c>
      <c r="D855">
        <v>69.982671852194471</v>
      </c>
      <c r="E855">
        <v>90.417530827689916</v>
      </c>
      <c r="F855">
        <v>129.35557980279555</v>
      </c>
      <c r="H855" s="33">
        <f t="shared" ref="H855:H918" si="67">IF(C855&gt;$C$19,(C855-$C$19)*$I$11,($C$19-C855)*$H$11)</f>
        <v>0.76429387263488024</v>
      </c>
      <c r="I855">
        <f t="shared" ref="I855:I918" si="68">IF(D855&gt;$D$19,(D855-$D$19)*$I$11,($D$19-D855)*$H$11)</f>
        <v>3.4656295611057431E-2</v>
      </c>
      <c r="J855">
        <f t="shared" ref="J855:J918" si="69">IF(E855&gt;$E$19,(E855-$E$19)*$I$11,($E$19-E855)*$H$11)</f>
        <v>8.3506165537983179</v>
      </c>
      <c r="K855">
        <f t="shared" ref="K855:K918" si="70">IF(F855&gt;$F$19,(F855-$F$19)*$I$11,($F$19-F855)*$H$11)</f>
        <v>1.2888403944089077</v>
      </c>
      <c r="L855" s="33">
        <f t="shared" ref="L855:L918" si="71">SUM(H855:K855)</f>
        <v>10.438407116453163</v>
      </c>
    </row>
    <row r="856" spans="3:12" x14ac:dyDescent="0.3">
      <c r="C856">
        <v>79.565968664683169</v>
      </c>
      <c r="D856">
        <v>69.698247847845778</v>
      </c>
      <c r="E856">
        <v>90.136551534524187</v>
      </c>
      <c r="F856">
        <v>130.05736637831433</v>
      </c>
      <c r="H856" s="33">
        <f t="shared" si="67"/>
        <v>0.86806267063366249</v>
      </c>
      <c r="I856">
        <f t="shared" si="68"/>
        <v>0.60350430430844426</v>
      </c>
      <c r="J856">
        <f t="shared" si="69"/>
        <v>2.7310306904837489</v>
      </c>
      <c r="K856">
        <f t="shared" si="70"/>
        <v>1.147327566286549</v>
      </c>
      <c r="L856" s="33">
        <f t="shared" si="71"/>
        <v>5.3499252317124046</v>
      </c>
    </row>
    <row r="857" spans="3:12" x14ac:dyDescent="0.3">
      <c r="C857">
        <v>80.396919404010987</v>
      </c>
      <c r="D857">
        <v>69.628939804097172</v>
      </c>
      <c r="E857">
        <v>88.395692273334134</v>
      </c>
      <c r="F857">
        <v>130.05361243893276</v>
      </c>
      <c r="H857" s="33">
        <f t="shared" si="67"/>
        <v>7.9383880802197382</v>
      </c>
      <c r="I857">
        <f t="shared" si="68"/>
        <v>0.74212039180565625</v>
      </c>
      <c r="J857">
        <f t="shared" si="69"/>
        <v>3.2086154533317313</v>
      </c>
      <c r="K857">
        <f t="shared" si="70"/>
        <v>1.0722487786551937</v>
      </c>
      <c r="L857" s="33">
        <f t="shared" si="71"/>
        <v>12.961372704012319</v>
      </c>
    </row>
    <row r="858" spans="3:12" x14ac:dyDescent="0.3">
      <c r="C858">
        <v>81.779999365680851</v>
      </c>
      <c r="D858">
        <v>72.369270077906549</v>
      </c>
      <c r="E858">
        <v>91.954340405063704</v>
      </c>
      <c r="F858">
        <v>132.03905983653385</v>
      </c>
      <c r="H858" s="33">
        <f t="shared" si="67"/>
        <v>35.599987313617021</v>
      </c>
      <c r="I858">
        <f t="shared" si="68"/>
        <v>47.38540155813098</v>
      </c>
      <c r="J858">
        <f t="shared" si="69"/>
        <v>39.086808101274073</v>
      </c>
      <c r="K858">
        <f t="shared" si="70"/>
        <v>40.781196730677038</v>
      </c>
      <c r="L858" s="33">
        <f t="shared" si="71"/>
        <v>162.85339370369911</v>
      </c>
    </row>
    <row r="859" spans="3:12" x14ac:dyDescent="0.3">
      <c r="C859">
        <v>80.011513066056068</v>
      </c>
      <c r="D859">
        <v>69.972725390762207</v>
      </c>
      <c r="E859">
        <v>90.23960978978721</v>
      </c>
      <c r="F859">
        <v>129.45200670481427</v>
      </c>
      <c r="H859" s="33">
        <f t="shared" si="67"/>
        <v>0.23026132112136111</v>
      </c>
      <c r="I859">
        <f t="shared" si="68"/>
        <v>5.4549218475585803E-2</v>
      </c>
      <c r="J859">
        <f t="shared" si="69"/>
        <v>4.7921957957441919</v>
      </c>
      <c r="K859">
        <f t="shared" si="70"/>
        <v>1.0959865903714672</v>
      </c>
      <c r="L859" s="33">
        <f t="shared" si="71"/>
        <v>6.1729929257126059</v>
      </c>
    </row>
    <row r="860" spans="3:12" x14ac:dyDescent="0.3">
      <c r="C860">
        <v>78.756186414539116</v>
      </c>
      <c r="D860">
        <v>68.315288394223899</v>
      </c>
      <c r="E860">
        <v>89.027415924501838</v>
      </c>
      <c r="F860">
        <v>130.40230474951386</v>
      </c>
      <c r="H860" s="33">
        <f t="shared" si="67"/>
        <v>2.487627170921769</v>
      </c>
      <c r="I860">
        <f t="shared" si="68"/>
        <v>3.3694232115522027</v>
      </c>
      <c r="J860">
        <f t="shared" si="69"/>
        <v>1.9451681509963237</v>
      </c>
      <c r="K860">
        <f t="shared" si="70"/>
        <v>8.0460949902771972</v>
      </c>
      <c r="L860" s="33">
        <f t="shared" si="71"/>
        <v>15.848313523747493</v>
      </c>
    </row>
    <row r="861" spans="3:12" x14ac:dyDescent="0.3">
      <c r="C861">
        <v>79.257790932460921</v>
      </c>
      <c r="D861">
        <v>71.411540324625093</v>
      </c>
      <c r="E861">
        <v>91.551456989545841</v>
      </c>
      <c r="F861">
        <v>128.55276655580383</v>
      </c>
      <c r="H861" s="33">
        <f t="shared" si="67"/>
        <v>1.4844181350781582</v>
      </c>
      <c r="I861">
        <f t="shared" si="68"/>
        <v>28.23080649250187</v>
      </c>
      <c r="J861">
        <f t="shared" si="69"/>
        <v>31.029139790916815</v>
      </c>
      <c r="K861">
        <f t="shared" si="70"/>
        <v>2.8944668883923441</v>
      </c>
      <c r="L861" s="33">
        <f t="shared" si="71"/>
        <v>63.638831306889188</v>
      </c>
    </row>
    <row r="862" spans="3:12" x14ac:dyDescent="0.3">
      <c r="C862">
        <v>80.617998239249573</v>
      </c>
      <c r="D862">
        <v>68.46960690774722</v>
      </c>
      <c r="E862">
        <v>89.536612449446693</v>
      </c>
      <c r="F862">
        <v>130.09012182999868</v>
      </c>
      <c r="H862" s="33">
        <f t="shared" si="67"/>
        <v>12.359964784991462</v>
      </c>
      <c r="I862">
        <f t="shared" si="68"/>
        <v>3.0607861845055595</v>
      </c>
      <c r="J862">
        <f t="shared" si="69"/>
        <v>0.92677510110661387</v>
      </c>
      <c r="K862">
        <f t="shared" si="70"/>
        <v>1.8024365999735892</v>
      </c>
      <c r="L862" s="33">
        <f t="shared" si="71"/>
        <v>18.149962670577224</v>
      </c>
    </row>
    <row r="863" spans="3:12" x14ac:dyDescent="0.3">
      <c r="C863">
        <v>78.957257503207074</v>
      </c>
      <c r="D863">
        <v>70.31933382160787</v>
      </c>
      <c r="E863">
        <v>88.533758116536774</v>
      </c>
      <c r="F863">
        <v>130.71408749136026</v>
      </c>
      <c r="H863" s="33">
        <f t="shared" si="67"/>
        <v>2.085484993585851</v>
      </c>
      <c r="I863">
        <f t="shared" si="68"/>
        <v>6.386676432157401</v>
      </c>
      <c r="J863">
        <f t="shared" si="69"/>
        <v>2.9324837669264525</v>
      </c>
      <c r="K863">
        <f t="shared" si="70"/>
        <v>14.281749827205203</v>
      </c>
      <c r="L863" s="33">
        <f t="shared" si="71"/>
        <v>25.686395019874908</v>
      </c>
    </row>
    <row r="864" spans="3:12" x14ac:dyDescent="0.3">
      <c r="C864">
        <v>78.037328623468056</v>
      </c>
      <c r="D864">
        <v>70.273050773103023</v>
      </c>
      <c r="E864">
        <v>90.272336819762131</v>
      </c>
      <c r="F864">
        <v>129.93351252669527</v>
      </c>
      <c r="H864" s="33">
        <f t="shared" si="67"/>
        <v>3.9253427530638874</v>
      </c>
      <c r="I864">
        <f t="shared" si="68"/>
        <v>5.461015462060459</v>
      </c>
      <c r="J864">
        <f t="shared" si="69"/>
        <v>5.446736395242624</v>
      </c>
      <c r="K864">
        <f t="shared" si="70"/>
        <v>0.13297494660946541</v>
      </c>
      <c r="L864" s="33">
        <f t="shared" si="71"/>
        <v>14.966069556976436</v>
      </c>
    </row>
    <row r="865" spans="3:12" x14ac:dyDescent="0.3">
      <c r="C865">
        <v>80.876966623764019</v>
      </c>
      <c r="D865">
        <v>69.326014403777663</v>
      </c>
      <c r="E865">
        <v>90.603893113293452</v>
      </c>
      <c r="F865">
        <v>132.15463842323516</v>
      </c>
      <c r="H865" s="33">
        <f t="shared" si="67"/>
        <v>17.539332475280389</v>
      </c>
      <c r="I865">
        <f t="shared" si="68"/>
        <v>1.3479711924446747</v>
      </c>
      <c r="J865">
        <f t="shared" si="69"/>
        <v>12.077862265869044</v>
      </c>
      <c r="K865">
        <f t="shared" si="70"/>
        <v>43.092768464703113</v>
      </c>
      <c r="L865" s="33">
        <f t="shared" si="71"/>
        <v>74.05793439829722</v>
      </c>
    </row>
    <row r="866" spans="3:12" x14ac:dyDescent="0.3">
      <c r="C866">
        <v>79.561173353868071</v>
      </c>
      <c r="D866">
        <v>69.363280949182808</v>
      </c>
      <c r="E866">
        <v>89.834197978998418</v>
      </c>
      <c r="F866">
        <v>130.18047899175144</v>
      </c>
      <c r="H866" s="33">
        <f t="shared" si="67"/>
        <v>0.87765329226385802</v>
      </c>
      <c r="I866">
        <f t="shared" si="68"/>
        <v>1.2734381016343832</v>
      </c>
      <c r="J866">
        <f t="shared" si="69"/>
        <v>0.33160404200316407</v>
      </c>
      <c r="K866">
        <f t="shared" si="70"/>
        <v>3.6095798350288533</v>
      </c>
      <c r="L866" s="33">
        <f t="shared" si="71"/>
        <v>6.0922752709302586</v>
      </c>
    </row>
    <row r="867" spans="3:12" x14ac:dyDescent="0.3">
      <c r="C867">
        <v>79.453518739755964</v>
      </c>
      <c r="D867">
        <v>70.776708475314081</v>
      </c>
      <c r="E867">
        <v>91.105531737266574</v>
      </c>
      <c r="F867">
        <v>130.81813141150633</v>
      </c>
      <c r="H867" s="33">
        <f t="shared" si="67"/>
        <v>1.0929625204880722</v>
      </c>
      <c r="I867">
        <f t="shared" si="68"/>
        <v>15.534169506281614</v>
      </c>
      <c r="J867">
        <f t="shared" si="69"/>
        <v>22.110634745331481</v>
      </c>
      <c r="K867">
        <f t="shared" si="70"/>
        <v>16.362628230126575</v>
      </c>
      <c r="L867" s="33">
        <f t="shared" si="71"/>
        <v>55.100395002227742</v>
      </c>
    </row>
    <row r="868" spans="3:12" x14ac:dyDescent="0.3">
      <c r="C868">
        <v>81.200862698169658</v>
      </c>
      <c r="D868">
        <v>71.514067662355956</v>
      </c>
      <c r="E868">
        <v>89.000042407715227</v>
      </c>
      <c r="F868">
        <v>130.38008920455468</v>
      </c>
      <c r="H868" s="33">
        <f t="shared" si="67"/>
        <v>24.017253963393159</v>
      </c>
      <c r="I868">
        <f t="shared" si="68"/>
        <v>30.281353247119114</v>
      </c>
      <c r="J868">
        <f t="shared" si="69"/>
        <v>1.9999151845695451</v>
      </c>
      <c r="K868">
        <f t="shared" si="70"/>
        <v>7.6017840910935774</v>
      </c>
      <c r="L868" s="33">
        <f t="shared" si="71"/>
        <v>63.900306486175396</v>
      </c>
    </row>
    <row r="869" spans="3:12" x14ac:dyDescent="0.3">
      <c r="C869">
        <v>77.949807948316447</v>
      </c>
      <c r="D869">
        <v>70.557349721930223</v>
      </c>
      <c r="E869">
        <v>89.418721472466132</v>
      </c>
      <c r="F869">
        <v>130.28864860723843</v>
      </c>
      <c r="H869" s="33">
        <f t="shared" si="67"/>
        <v>4.1003841033671051</v>
      </c>
      <c r="I869">
        <f t="shared" si="68"/>
        <v>11.146994438604452</v>
      </c>
      <c r="J869">
        <f t="shared" si="69"/>
        <v>1.1625570550677367</v>
      </c>
      <c r="K869">
        <f t="shared" si="70"/>
        <v>5.7729721447685733</v>
      </c>
      <c r="L869" s="33">
        <f t="shared" si="71"/>
        <v>22.182907741807867</v>
      </c>
    </row>
    <row r="870" spans="3:12" x14ac:dyDescent="0.3">
      <c r="C870">
        <v>79.553748466496472</v>
      </c>
      <c r="D870">
        <v>68.432022039196454</v>
      </c>
      <c r="E870">
        <v>88.832752226007869</v>
      </c>
      <c r="F870">
        <v>129.64153175824322</v>
      </c>
      <c r="H870" s="33">
        <f t="shared" si="67"/>
        <v>0.89250306700705551</v>
      </c>
      <c r="I870">
        <f t="shared" si="68"/>
        <v>3.135955921607092</v>
      </c>
      <c r="J870">
        <f t="shared" si="69"/>
        <v>2.3344955479842611</v>
      </c>
      <c r="K870">
        <f t="shared" si="70"/>
        <v>0.71693648351356387</v>
      </c>
      <c r="L870" s="33">
        <f t="shared" si="71"/>
        <v>7.0798910201119725</v>
      </c>
    </row>
    <row r="871" spans="3:12" x14ac:dyDescent="0.3">
      <c r="C871">
        <v>79.769040641695028</v>
      </c>
      <c r="D871">
        <v>69.543244939559372</v>
      </c>
      <c r="E871">
        <v>91.024989160214318</v>
      </c>
      <c r="F871">
        <v>132.64968548435718</v>
      </c>
      <c r="H871" s="33">
        <f t="shared" si="67"/>
        <v>0.46191871660994366</v>
      </c>
      <c r="I871">
        <f t="shared" si="68"/>
        <v>0.91351012088125572</v>
      </c>
      <c r="J871">
        <f t="shared" si="69"/>
        <v>20.499783204286359</v>
      </c>
      <c r="K871">
        <f t="shared" si="70"/>
        <v>52.993709687143564</v>
      </c>
      <c r="L871" s="33">
        <f t="shared" si="71"/>
        <v>74.868921728921123</v>
      </c>
    </row>
    <row r="872" spans="3:12" x14ac:dyDescent="0.3">
      <c r="C872">
        <v>79.257690888043726</v>
      </c>
      <c r="D872">
        <v>68.721968950121664</v>
      </c>
      <c r="E872">
        <v>90.906452441995498</v>
      </c>
      <c r="F872">
        <v>130.12490204426285</v>
      </c>
      <c r="H872" s="33">
        <f t="shared" si="67"/>
        <v>1.4846182239125483</v>
      </c>
      <c r="I872">
        <f t="shared" si="68"/>
        <v>2.556062099756673</v>
      </c>
      <c r="J872">
        <f t="shared" si="69"/>
        <v>18.129048839909956</v>
      </c>
      <c r="K872">
        <f t="shared" si="70"/>
        <v>2.498040885257069</v>
      </c>
      <c r="L872" s="33">
        <f t="shared" si="71"/>
        <v>24.667770048836246</v>
      </c>
    </row>
    <row r="873" spans="3:12" x14ac:dyDescent="0.3">
      <c r="C873">
        <v>81.069195150193991</v>
      </c>
      <c r="D873">
        <v>68.524508555419743</v>
      </c>
      <c r="E873">
        <v>89.422611836052965</v>
      </c>
      <c r="F873">
        <v>130.6481900527433</v>
      </c>
      <c r="H873" s="33">
        <f t="shared" si="67"/>
        <v>21.383903003879823</v>
      </c>
      <c r="I873">
        <f t="shared" si="68"/>
        <v>2.9509828891605139</v>
      </c>
      <c r="J873">
        <f t="shared" si="69"/>
        <v>1.1547763278940693</v>
      </c>
      <c r="K873">
        <f t="shared" si="70"/>
        <v>12.963801054866053</v>
      </c>
      <c r="L873" s="33">
        <f t="shared" si="71"/>
        <v>38.453463275800459</v>
      </c>
    </row>
    <row r="874" spans="3:12" x14ac:dyDescent="0.3">
      <c r="C874">
        <v>79.661042693333002</v>
      </c>
      <c r="D874">
        <v>70.542223688171362</v>
      </c>
      <c r="E874">
        <v>90.877303136803675</v>
      </c>
      <c r="F874">
        <v>129.72948899085168</v>
      </c>
      <c r="H874" s="33">
        <f t="shared" si="67"/>
        <v>0.67791461333399639</v>
      </c>
      <c r="I874">
        <f t="shared" si="68"/>
        <v>10.844473763427231</v>
      </c>
      <c r="J874">
        <f t="shared" si="69"/>
        <v>17.546062736073509</v>
      </c>
      <c r="K874">
        <f t="shared" si="70"/>
        <v>0.54102201829664409</v>
      </c>
      <c r="L874" s="33">
        <f t="shared" si="71"/>
        <v>29.609473131131381</v>
      </c>
    </row>
    <row r="875" spans="3:12" x14ac:dyDescent="0.3">
      <c r="C875">
        <v>79.008457507443381</v>
      </c>
      <c r="D875">
        <v>69.577205471723573</v>
      </c>
      <c r="E875">
        <v>90.934496711124666</v>
      </c>
      <c r="F875">
        <v>131.25786300486652</v>
      </c>
      <c r="H875" s="33">
        <f t="shared" si="67"/>
        <v>1.9830849851132371</v>
      </c>
      <c r="I875">
        <f t="shared" si="68"/>
        <v>0.84558905655285344</v>
      </c>
      <c r="J875">
        <f t="shared" si="69"/>
        <v>18.689934222493321</v>
      </c>
      <c r="K875">
        <f t="shared" si="70"/>
        <v>25.157260097330436</v>
      </c>
      <c r="L875" s="33">
        <f t="shared" si="71"/>
        <v>46.675868361489847</v>
      </c>
    </row>
    <row r="876" spans="3:12" x14ac:dyDescent="0.3">
      <c r="C876">
        <v>80.785947804615716</v>
      </c>
      <c r="D876">
        <v>70.902766714716563</v>
      </c>
      <c r="E876">
        <v>89.746115690868464</v>
      </c>
      <c r="F876">
        <v>128.68636905375752</v>
      </c>
      <c r="H876" s="33">
        <f t="shared" si="67"/>
        <v>15.718956092314329</v>
      </c>
      <c r="I876">
        <f t="shared" si="68"/>
        <v>18.05533429433126</v>
      </c>
      <c r="J876">
        <f t="shared" si="69"/>
        <v>0.5077686182630714</v>
      </c>
      <c r="K876">
        <f t="shared" si="70"/>
        <v>2.6272618924849667</v>
      </c>
      <c r="L876" s="33">
        <f t="shared" si="71"/>
        <v>36.909320897393627</v>
      </c>
    </row>
    <row r="877" spans="3:12" x14ac:dyDescent="0.3">
      <c r="C877">
        <v>79.967444637150038</v>
      </c>
      <c r="D877">
        <v>70.862562501424691</v>
      </c>
      <c r="E877">
        <v>88.463408701354638</v>
      </c>
      <c r="F877">
        <v>130.36393885238795</v>
      </c>
      <c r="H877" s="33">
        <f t="shared" si="67"/>
        <v>6.5110725699923933E-2</v>
      </c>
      <c r="I877">
        <f t="shared" si="68"/>
        <v>17.251250028493814</v>
      </c>
      <c r="J877">
        <f t="shared" si="69"/>
        <v>3.0731825972907245</v>
      </c>
      <c r="K877">
        <f t="shared" si="70"/>
        <v>7.278777047758922</v>
      </c>
      <c r="L877" s="33">
        <f t="shared" si="71"/>
        <v>27.668320399243385</v>
      </c>
    </row>
    <row r="878" spans="3:12" x14ac:dyDescent="0.3">
      <c r="C878">
        <v>79.769120222481433</v>
      </c>
      <c r="D878">
        <v>69.797237251186743</v>
      </c>
      <c r="E878">
        <v>90.444899797003018</v>
      </c>
      <c r="F878">
        <v>129.43117586553853</v>
      </c>
      <c r="H878" s="33">
        <f t="shared" si="67"/>
        <v>0.4617595550371334</v>
      </c>
      <c r="I878">
        <f t="shared" si="68"/>
        <v>0.40552549762651324</v>
      </c>
      <c r="J878">
        <f t="shared" si="69"/>
        <v>8.8979959400603548</v>
      </c>
      <c r="K878">
        <f t="shared" si="70"/>
        <v>1.1376482689229306</v>
      </c>
      <c r="L878" s="33">
        <f t="shared" si="71"/>
        <v>10.902929261646932</v>
      </c>
    </row>
    <row r="879" spans="3:12" x14ac:dyDescent="0.3">
      <c r="C879">
        <v>80.853387973620556</v>
      </c>
      <c r="D879">
        <v>70.572605358684086</v>
      </c>
      <c r="E879">
        <v>89.4184486240556</v>
      </c>
      <c r="F879">
        <v>131.04353375718347</v>
      </c>
      <c r="H879" s="33">
        <f t="shared" si="67"/>
        <v>17.067759472411126</v>
      </c>
      <c r="I879">
        <f t="shared" si="68"/>
        <v>11.452107173681725</v>
      </c>
      <c r="J879">
        <f t="shared" si="69"/>
        <v>1.1631027518888004</v>
      </c>
      <c r="K879">
        <f t="shared" si="70"/>
        <v>20.870675143669359</v>
      </c>
      <c r="L879" s="33">
        <f t="shared" si="71"/>
        <v>50.553644541651011</v>
      </c>
    </row>
    <row r="880" spans="3:12" x14ac:dyDescent="0.3">
      <c r="C880">
        <v>81.206230990646873</v>
      </c>
      <c r="D880">
        <v>69.367398686445085</v>
      </c>
      <c r="E880">
        <v>91.728349161567166</v>
      </c>
      <c r="F880">
        <v>128.78757080296054</v>
      </c>
      <c r="H880" s="33">
        <f t="shared" si="67"/>
        <v>24.124619812937453</v>
      </c>
      <c r="I880">
        <f t="shared" si="68"/>
        <v>1.2652026271098293</v>
      </c>
      <c r="J880">
        <f t="shared" si="69"/>
        <v>34.566983231343329</v>
      </c>
      <c r="K880">
        <f t="shared" si="70"/>
        <v>2.4248583940789104</v>
      </c>
      <c r="L880" s="33">
        <f t="shared" si="71"/>
        <v>62.381664065469522</v>
      </c>
    </row>
    <row r="881" spans="3:12" x14ac:dyDescent="0.3">
      <c r="C881">
        <v>78.725597833981737</v>
      </c>
      <c r="D881">
        <v>69.327742443711031</v>
      </c>
      <c r="E881">
        <v>89.917479271971388</v>
      </c>
      <c r="F881">
        <v>130.26353518478572</v>
      </c>
      <c r="H881" s="33">
        <f t="shared" si="67"/>
        <v>2.548804332036525</v>
      </c>
      <c r="I881">
        <f t="shared" si="68"/>
        <v>1.3445151125779375</v>
      </c>
      <c r="J881">
        <f t="shared" si="69"/>
        <v>0.16504145605722442</v>
      </c>
      <c r="K881">
        <f t="shared" si="70"/>
        <v>5.2707036957144737</v>
      </c>
      <c r="L881" s="33">
        <f t="shared" si="71"/>
        <v>9.3290645963861607</v>
      </c>
    </row>
    <row r="882" spans="3:12" x14ac:dyDescent="0.3">
      <c r="C882">
        <v>80.756185727368575</v>
      </c>
      <c r="D882">
        <v>68.608477653760929</v>
      </c>
      <c r="E882">
        <v>90.406039362133015</v>
      </c>
      <c r="F882">
        <v>129.55417024466442</v>
      </c>
      <c r="H882" s="33">
        <f t="shared" si="67"/>
        <v>15.123714547371492</v>
      </c>
      <c r="I882">
        <f t="shared" si="68"/>
        <v>2.7830446924781427</v>
      </c>
      <c r="J882">
        <f t="shared" si="69"/>
        <v>8.1207872426602989</v>
      </c>
      <c r="K882">
        <f t="shared" si="70"/>
        <v>0.89165951067116112</v>
      </c>
      <c r="L882" s="33">
        <f t="shared" si="71"/>
        <v>26.919205993181095</v>
      </c>
    </row>
    <row r="883" spans="3:12" x14ac:dyDescent="0.3">
      <c r="C883">
        <v>79.021010808064602</v>
      </c>
      <c r="D883">
        <v>70.460920546174748</v>
      </c>
      <c r="E883">
        <v>89.754007831143099</v>
      </c>
      <c r="F883">
        <v>126.15829437971115</v>
      </c>
      <c r="H883" s="33">
        <f t="shared" si="67"/>
        <v>1.9579783838707954</v>
      </c>
      <c r="I883">
        <f t="shared" si="68"/>
        <v>9.2184109234949574</v>
      </c>
      <c r="J883">
        <f t="shared" si="69"/>
        <v>0.49198433771380223</v>
      </c>
      <c r="K883">
        <f t="shared" si="70"/>
        <v>7.6834112405776978</v>
      </c>
      <c r="L883" s="33">
        <f t="shared" si="71"/>
        <v>19.351784885657253</v>
      </c>
    </row>
    <row r="884" spans="3:12" x14ac:dyDescent="0.3">
      <c r="C884">
        <v>79.008707618486369</v>
      </c>
      <c r="D884">
        <v>70.575853391637793</v>
      </c>
      <c r="E884">
        <v>89.493501263714279</v>
      </c>
      <c r="F884">
        <v>130.35961079447588</v>
      </c>
      <c r="H884" s="33">
        <f t="shared" si="67"/>
        <v>1.9825847630272619</v>
      </c>
      <c r="I884">
        <f t="shared" si="68"/>
        <v>11.517067832755856</v>
      </c>
      <c r="J884">
        <f t="shared" si="69"/>
        <v>1.0129974725714419</v>
      </c>
      <c r="K884">
        <f t="shared" si="70"/>
        <v>7.1922158895176835</v>
      </c>
      <c r="L884" s="33">
        <f t="shared" si="71"/>
        <v>21.704865957872244</v>
      </c>
    </row>
    <row r="885" spans="3:12" x14ac:dyDescent="0.3">
      <c r="C885">
        <v>83.427267074584961</v>
      </c>
      <c r="D885">
        <v>69.565211510343943</v>
      </c>
      <c r="E885">
        <v>89.774615844216896</v>
      </c>
      <c r="F885">
        <v>130.47209368858603</v>
      </c>
      <c r="H885" s="33">
        <f t="shared" si="67"/>
        <v>68.545341491699219</v>
      </c>
      <c r="I885">
        <f t="shared" si="68"/>
        <v>0.86957697931211442</v>
      </c>
      <c r="J885">
        <f t="shared" si="69"/>
        <v>0.45076831156620756</v>
      </c>
      <c r="K885">
        <f t="shared" si="70"/>
        <v>9.4418737717205659</v>
      </c>
      <c r="L885" s="33">
        <f t="shared" si="71"/>
        <v>79.307560554298107</v>
      </c>
    </row>
    <row r="886" spans="3:12" x14ac:dyDescent="0.3">
      <c r="C886">
        <v>80.099958015198354</v>
      </c>
      <c r="D886">
        <v>68.933105871401494</v>
      </c>
      <c r="E886">
        <v>89.891349489189452</v>
      </c>
      <c r="F886">
        <v>129.6738165464194</v>
      </c>
      <c r="H886" s="33">
        <f t="shared" si="67"/>
        <v>1.9991603039670736</v>
      </c>
      <c r="I886">
        <f t="shared" si="68"/>
        <v>2.1337882571970113</v>
      </c>
      <c r="J886">
        <f t="shared" si="69"/>
        <v>0.21730102162109688</v>
      </c>
      <c r="K886">
        <f t="shared" si="70"/>
        <v>0.65236690716119483</v>
      </c>
      <c r="L886" s="33">
        <f t="shared" si="71"/>
        <v>5.0026164899463765</v>
      </c>
    </row>
    <row r="887" spans="3:12" x14ac:dyDescent="0.3">
      <c r="C887">
        <v>80.278613470072742</v>
      </c>
      <c r="D887">
        <v>70.459899638372008</v>
      </c>
      <c r="E887">
        <v>89.553156158071943</v>
      </c>
      <c r="F887">
        <v>129.34585162009171</v>
      </c>
      <c r="H887" s="33">
        <f t="shared" si="67"/>
        <v>5.5722694014548324</v>
      </c>
      <c r="I887">
        <f t="shared" si="68"/>
        <v>9.1979927674401551</v>
      </c>
      <c r="J887">
        <f t="shared" si="69"/>
        <v>0.89368768385611475</v>
      </c>
      <c r="K887">
        <f t="shared" si="70"/>
        <v>1.3082967598165851</v>
      </c>
      <c r="L887" s="33">
        <f t="shared" si="71"/>
        <v>16.972246612567687</v>
      </c>
    </row>
    <row r="888" spans="3:12" x14ac:dyDescent="0.3">
      <c r="C888">
        <v>79.313868102035485</v>
      </c>
      <c r="D888">
        <v>71.195376171381213</v>
      </c>
      <c r="E888">
        <v>91.459106897527818</v>
      </c>
      <c r="F888">
        <v>128.26445673534181</v>
      </c>
      <c r="H888" s="33">
        <f t="shared" si="67"/>
        <v>1.3722637959290296</v>
      </c>
      <c r="I888">
        <f t="shared" si="68"/>
        <v>23.907523427624255</v>
      </c>
      <c r="J888">
        <f t="shared" si="69"/>
        <v>29.182137950556353</v>
      </c>
      <c r="K888">
        <f t="shared" si="70"/>
        <v>3.4710865293163806</v>
      </c>
      <c r="L888" s="33">
        <f t="shared" si="71"/>
        <v>57.933011703426018</v>
      </c>
    </row>
    <row r="889" spans="3:12" x14ac:dyDescent="0.3">
      <c r="C889">
        <v>80.113421947389725</v>
      </c>
      <c r="D889">
        <v>69.152214513742365</v>
      </c>
      <c r="E889">
        <v>89.406174993055174</v>
      </c>
      <c r="F889">
        <v>131.69011400430463</v>
      </c>
      <c r="H889" s="33">
        <f t="shared" si="67"/>
        <v>2.2684389477944933</v>
      </c>
      <c r="I889">
        <f t="shared" si="68"/>
        <v>1.6955709725152701</v>
      </c>
      <c r="J889">
        <f t="shared" si="69"/>
        <v>1.1876500138896517</v>
      </c>
      <c r="K889">
        <f t="shared" si="70"/>
        <v>33.802280086092651</v>
      </c>
      <c r="L889" s="33">
        <f t="shared" si="71"/>
        <v>38.953940020292066</v>
      </c>
    </row>
    <row r="890" spans="3:12" x14ac:dyDescent="0.3">
      <c r="C890">
        <v>79.417633489429136</v>
      </c>
      <c r="D890">
        <v>71.09321263153106</v>
      </c>
      <c r="E890">
        <v>91.42429144034395</v>
      </c>
      <c r="F890">
        <v>129.03645857557422</v>
      </c>
      <c r="H890" s="33">
        <f t="shared" si="67"/>
        <v>1.1647330211417284</v>
      </c>
      <c r="I890">
        <f t="shared" si="68"/>
        <v>21.864252630621195</v>
      </c>
      <c r="J890">
        <f t="shared" si="69"/>
        <v>28.485828806878999</v>
      </c>
      <c r="K890">
        <f t="shared" si="70"/>
        <v>1.927082848851569</v>
      </c>
      <c r="L890" s="33">
        <f t="shared" si="71"/>
        <v>53.441897307493491</v>
      </c>
    </row>
    <row r="891" spans="3:12" x14ac:dyDescent="0.3">
      <c r="C891">
        <v>81.332350620941725</v>
      </c>
      <c r="D891">
        <v>69.510043835471151</v>
      </c>
      <c r="E891">
        <v>92.200486051151529</v>
      </c>
      <c r="F891">
        <v>131.30605485537671</v>
      </c>
      <c r="H891" s="33">
        <f t="shared" si="67"/>
        <v>26.647012418834493</v>
      </c>
      <c r="I891">
        <f t="shared" si="68"/>
        <v>0.97991232905769721</v>
      </c>
      <c r="J891">
        <f t="shared" si="69"/>
        <v>44.009721023030579</v>
      </c>
      <c r="K891">
        <f t="shared" si="70"/>
        <v>26.121097107534297</v>
      </c>
      <c r="L891" s="33">
        <f t="shared" si="71"/>
        <v>97.757742878457066</v>
      </c>
    </row>
    <row r="892" spans="3:12" x14ac:dyDescent="0.3">
      <c r="C892">
        <v>80.989418822427979</v>
      </c>
      <c r="D892">
        <v>69.588221726298798</v>
      </c>
      <c r="E892">
        <v>88.347298060252797</v>
      </c>
      <c r="F892">
        <v>129.65374172461452</v>
      </c>
      <c r="H892" s="33">
        <f t="shared" si="67"/>
        <v>19.788376448559575</v>
      </c>
      <c r="I892">
        <f t="shared" si="68"/>
        <v>0.82355654740240425</v>
      </c>
      <c r="J892">
        <f t="shared" si="69"/>
        <v>3.3054038794944063</v>
      </c>
      <c r="K892">
        <f t="shared" si="70"/>
        <v>0.69251655077096075</v>
      </c>
      <c r="L892" s="33">
        <f t="shared" si="71"/>
        <v>24.609853426227346</v>
      </c>
    </row>
    <row r="893" spans="3:12" x14ac:dyDescent="0.3">
      <c r="C893">
        <v>78.980943018977996</v>
      </c>
      <c r="D893">
        <v>70.035770426620729</v>
      </c>
      <c r="E893">
        <v>90.904492480913177</v>
      </c>
      <c r="F893">
        <v>128.58368028071709</v>
      </c>
      <c r="H893" s="33">
        <f t="shared" si="67"/>
        <v>2.0381139620440081</v>
      </c>
      <c r="I893">
        <f t="shared" si="68"/>
        <v>0.71540853241458535</v>
      </c>
      <c r="J893">
        <f t="shared" si="69"/>
        <v>18.089849618263543</v>
      </c>
      <c r="K893">
        <f t="shared" si="70"/>
        <v>2.8326394385658205</v>
      </c>
      <c r="L893" s="33">
        <f t="shared" si="71"/>
        <v>23.676011551287957</v>
      </c>
    </row>
    <row r="894" spans="3:12" x14ac:dyDescent="0.3">
      <c r="C894">
        <v>80.624957010586513</v>
      </c>
      <c r="D894">
        <v>70.145901140058413</v>
      </c>
      <c r="E894">
        <v>92.443957782816142</v>
      </c>
      <c r="F894">
        <v>130.98506006906973</v>
      </c>
      <c r="H894" s="33">
        <f t="shared" si="67"/>
        <v>12.499140211730264</v>
      </c>
      <c r="I894">
        <f t="shared" si="68"/>
        <v>2.918022801168263</v>
      </c>
      <c r="J894">
        <f t="shared" si="69"/>
        <v>48.879155656322837</v>
      </c>
      <c r="K894">
        <f t="shared" si="70"/>
        <v>19.70120138139464</v>
      </c>
      <c r="L894" s="33">
        <f t="shared" si="71"/>
        <v>83.997520050616004</v>
      </c>
    </row>
    <row r="895" spans="3:12" x14ac:dyDescent="0.3">
      <c r="C895">
        <v>79.712308635935187</v>
      </c>
      <c r="D895">
        <v>69.178228335949825</v>
      </c>
      <c r="E895">
        <v>89.936271706246771</v>
      </c>
      <c r="F895">
        <v>130.85030819718668</v>
      </c>
      <c r="H895" s="33">
        <f t="shared" si="67"/>
        <v>0.57538272812962532</v>
      </c>
      <c r="I895">
        <f t="shared" si="68"/>
        <v>1.6435433281003498</v>
      </c>
      <c r="J895">
        <f t="shared" si="69"/>
        <v>0.12745658750645816</v>
      </c>
      <c r="K895">
        <f t="shared" si="70"/>
        <v>17.006163943733554</v>
      </c>
      <c r="L895" s="33">
        <f t="shared" si="71"/>
        <v>19.352546587469988</v>
      </c>
    </row>
    <row r="896" spans="3:12" x14ac:dyDescent="0.3">
      <c r="C896">
        <v>80.996055860014167</v>
      </c>
      <c r="D896">
        <v>72.895612851716578</v>
      </c>
      <c r="E896">
        <v>89.016927176853642</v>
      </c>
      <c r="F896">
        <v>131.01725845524925</v>
      </c>
      <c r="H896" s="33">
        <f t="shared" si="67"/>
        <v>19.921117200283334</v>
      </c>
      <c r="I896">
        <f t="shared" si="68"/>
        <v>57.91225703433156</v>
      </c>
      <c r="J896">
        <f t="shared" si="69"/>
        <v>1.9661456462927163</v>
      </c>
      <c r="K896">
        <f t="shared" si="70"/>
        <v>20.345169104984961</v>
      </c>
      <c r="L896" s="33">
        <f t="shared" si="71"/>
        <v>100.14468898589257</v>
      </c>
    </row>
    <row r="897" spans="3:12" x14ac:dyDescent="0.3">
      <c r="C897">
        <v>81.970611265278421</v>
      </c>
      <c r="D897">
        <v>70.522829850524431</v>
      </c>
      <c r="E897">
        <v>90.576214915781748</v>
      </c>
      <c r="F897">
        <v>129.7677048213518</v>
      </c>
      <c r="H897" s="33">
        <f t="shared" si="67"/>
        <v>39.412225305568427</v>
      </c>
      <c r="I897">
        <f t="shared" si="68"/>
        <v>10.456597010488622</v>
      </c>
      <c r="J897">
        <f t="shared" si="69"/>
        <v>11.524298315634951</v>
      </c>
      <c r="K897">
        <f t="shared" si="70"/>
        <v>0.46459035729640163</v>
      </c>
      <c r="L897" s="33">
        <f t="shared" si="71"/>
        <v>61.857710988988401</v>
      </c>
    </row>
    <row r="898" spans="3:12" x14ac:dyDescent="0.3">
      <c r="C898">
        <v>79.710634028815548</v>
      </c>
      <c r="D898">
        <v>67.43078660685569</v>
      </c>
      <c r="E898">
        <v>90.335071490553673</v>
      </c>
      <c r="F898">
        <v>130.34284994399059</v>
      </c>
      <c r="H898" s="33">
        <f t="shared" si="67"/>
        <v>0.57873194236890413</v>
      </c>
      <c r="I898">
        <f t="shared" si="68"/>
        <v>5.138426786288619</v>
      </c>
      <c r="J898">
        <f t="shared" si="69"/>
        <v>6.7014298110734671</v>
      </c>
      <c r="K898">
        <f t="shared" si="70"/>
        <v>6.8569988798117265</v>
      </c>
      <c r="L898" s="33">
        <f t="shared" si="71"/>
        <v>19.275587419542717</v>
      </c>
    </row>
    <row r="899" spans="3:12" x14ac:dyDescent="0.3">
      <c r="C899">
        <v>79.45635863696225</v>
      </c>
      <c r="D899">
        <v>69.800593286636285</v>
      </c>
      <c r="E899">
        <v>89.600265709887026</v>
      </c>
      <c r="F899">
        <v>130.65813310357044</v>
      </c>
      <c r="H899" s="33">
        <f t="shared" si="67"/>
        <v>1.0872827260755002</v>
      </c>
      <c r="I899">
        <f t="shared" si="68"/>
        <v>0.39881342672742903</v>
      </c>
      <c r="J899">
        <f t="shared" si="69"/>
        <v>0.79946858022594824</v>
      </c>
      <c r="K899">
        <f t="shared" si="70"/>
        <v>13.162662071408704</v>
      </c>
      <c r="L899" s="33">
        <f t="shared" si="71"/>
        <v>15.448226804437581</v>
      </c>
    </row>
    <row r="900" spans="3:12" x14ac:dyDescent="0.3">
      <c r="C900">
        <v>81.24314965432859</v>
      </c>
      <c r="D900">
        <v>72.280394255649298</v>
      </c>
      <c r="E900">
        <v>90.758427631808445</v>
      </c>
      <c r="F900">
        <v>131.69556187756825</v>
      </c>
      <c r="H900" s="33">
        <f t="shared" si="67"/>
        <v>24.862993086571805</v>
      </c>
      <c r="I900">
        <f t="shared" si="68"/>
        <v>45.607885112985969</v>
      </c>
      <c r="J900">
        <f t="shared" si="69"/>
        <v>15.168552636168897</v>
      </c>
      <c r="K900">
        <f t="shared" si="70"/>
        <v>33.911237551365048</v>
      </c>
      <c r="L900" s="33">
        <f t="shared" si="71"/>
        <v>119.55066838709172</v>
      </c>
    </row>
    <row r="901" spans="3:12" x14ac:dyDescent="0.3">
      <c r="C901">
        <v>79.789108642289648</v>
      </c>
      <c r="D901">
        <v>71.269249878532719</v>
      </c>
      <c r="E901">
        <v>89.920012214715825</v>
      </c>
      <c r="F901">
        <v>129.93719256963232</v>
      </c>
      <c r="H901" s="33">
        <f t="shared" si="67"/>
        <v>0.42178271542070433</v>
      </c>
      <c r="I901">
        <f t="shared" si="68"/>
        <v>25.384997570654377</v>
      </c>
      <c r="J901">
        <f t="shared" si="69"/>
        <v>0.15997557056834921</v>
      </c>
      <c r="K901">
        <f t="shared" si="70"/>
        <v>0.12561486073536798</v>
      </c>
      <c r="L901" s="33">
        <f t="shared" si="71"/>
        <v>26.092370717378799</v>
      </c>
    </row>
    <row r="902" spans="3:12" x14ac:dyDescent="0.3">
      <c r="C902">
        <v>80.046336481318576</v>
      </c>
      <c r="D902">
        <v>70.410612983614556</v>
      </c>
      <c r="E902">
        <v>90.961351815931266</v>
      </c>
      <c r="F902">
        <v>130.33830929169198</v>
      </c>
      <c r="H902" s="33">
        <f t="shared" si="67"/>
        <v>0.92672962637152523</v>
      </c>
      <c r="I902">
        <f t="shared" si="68"/>
        <v>8.2122596722911112</v>
      </c>
      <c r="J902">
        <f t="shared" si="69"/>
        <v>19.227036318625323</v>
      </c>
      <c r="K902">
        <f t="shared" si="70"/>
        <v>6.7661858338396996</v>
      </c>
      <c r="L902" s="33">
        <f t="shared" si="71"/>
        <v>35.13221145112766</v>
      </c>
    </row>
    <row r="903" spans="3:12" x14ac:dyDescent="0.3">
      <c r="C903">
        <v>80.756490408093669</v>
      </c>
      <c r="D903">
        <v>69.826281964487862</v>
      </c>
      <c r="E903">
        <v>90.59967533161398</v>
      </c>
      <c r="F903">
        <v>133.37720848619938</v>
      </c>
      <c r="H903" s="33">
        <f t="shared" si="67"/>
        <v>15.12980816187337</v>
      </c>
      <c r="I903">
        <f t="shared" si="68"/>
        <v>0.34743607102427632</v>
      </c>
      <c r="J903">
        <f t="shared" si="69"/>
        <v>11.993506632279605</v>
      </c>
      <c r="K903">
        <f t="shared" si="70"/>
        <v>67.544169723987579</v>
      </c>
      <c r="L903" s="33">
        <f t="shared" si="71"/>
        <v>95.014920589164831</v>
      </c>
    </row>
    <row r="904" spans="3:12" x14ac:dyDescent="0.3">
      <c r="C904">
        <v>78.578866780007957</v>
      </c>
      <c r="D904">
        <v>71.166040419775527</v>
      </c>
      <c r="E904">
        <v>90.443126282334561</v>
      </c>
      <c r="F904">
        <v>131.30587523017311</v>
      </c>
      <c r="H904" s="33">
        <f t="shared" si="67"/>
        <v>2.8422664399840869</v>
      </c>
      <c r="I904">
        <f t="shared" si="68"/>
        <v>23.320808395510539</v>
      </c>
      <c r="J904">
        <f t="shared" si="69"/>
        <v>8.8625256466912106</v>
      </c>
      <c r="K904">
        <f t="shared" si="70"/>
        <v>26.117504603462294</v>
      </c>
      <c r="L904" s="33">
        <f t="shared" si="71"/>
        <v>61.143105085648131</v>
      </c>
    </row>
    <row r="905" spans="3:12" x14ac:dyDescent="0.3">
      <c r="C905">
        <v>79.039375779830152</v>
      </c>
      <c r="D905">
        <v>71.710236574581359</v>
      </c>
      <c r="E905">
        <v>90.55057171266526</v>
      </c>
      <c r="F905">
        <v>128.70233750698389</v>
      </c>
      <c r="H905" s="33">
        <f t="shared" si="67"/>
        <v>1.9212484403396957</v>
      </c>
      <c r="I905">
        <f t="shared" si="68"/>
        <v>34.204731491627172</v>
      </c>
      <c r="J905">
        <f t="shared" si="69"/>
        <v>11.011434253305197</v>
      </c>
      <c r="K905">
        <f t="shared" si="70"/>
        <v>2.5953249860322103</v>
      </c>
      <c r="L905" s="33">
        <f t="shared" si="71"/>
        <v>49.732739171304274</v>
      </c>
    </row>
    <row r="906" spans="3:12" x14ac:dyDescent="0.3">
      <c r="C906">
        <v>80.687197143633966</v>
      </c>
      <c r="D906">
        <v>71.008570507110562</v>
      </c>
      <c r="E906">
        <v>89.179192400333704</v>
      </c>
      <c r="F906">
        <v>130.05552806214837</v>
      </c>
      <c r="H906" s="33">
        <f t="shared" si="67"/>
        <v>13.743942872679327</v>
      </c>
      <c r="I906">
        <f t="shared" si="68"/>
        <v>20.171410142211244</v>
      </c>
      <c r="J906">
        <f t="shared" si="69"/>
        <v>1.6416151993325911</v>
      </c>
      <c r="K906">
        <f t="shared" si="70"/>
        <v>1.1105612429673783</v>
      </c>
      <c r="L906" s="33">
        <f t="shared" si="71"/>
        <v>36.66752945719054</v>
      </c>
    </row>
    <row r="907" spans="3:12" x14ac:dyDescent="0.3">
      <c r="C907">
        <v>79.669537373847561</v>
      </c>
      <c r="D907">
        <v>69.070109879539814</v>
      </c>
      <c r="E907">
        <v>90.47388994062203</v>
      </c>
      <c r="F907">
        <v>130.15874775272096</v>
      </c>
      <c r="H907" s="33">
        <f t="shared" si="67"/>
        <v>0.66092525230487809</v>
      </c>
      <c r="I907">
        <f t="shared" si="68"/>
        <v>1.8597802409203723</v>
      </c>
      <c r="J907">
        <f t="shared" si="69"/>
        <v>9.4777988124405965</v>
      </c>
      <c r="K907">
        <f t="shared" si="70"/>
        <v>3.1749550544191152</v>
      </c>
      <c r="L907" s="33">
        <f t="shared" si="71"/>
        <v>15.173459360084962</v>
      </c>
    </row>
    <row r="908" spans="3:12" x14ac:dyDescent="0.3">
      <c r="C908">
        <v>78.449561644520145</v>
      </c>
      <c r="D908">
        <v>70.30399519346247</v>
      </c>
      <c r="E908">
        <v>89.893119593252777</v>
      </c>
      <c r="F908">
        <v>127.67744156997651</v>
      </c>
      <c r="H908" s="33">
        <f t="shared" si="67"/>
        <v>3.1008767109597102</v>
      </c>
      <c r="I908">
        <f t="shared" si="68"/>
        <v>6.0799038692493923</v>
      </c>
      <c r="J908">
        <f t="shared" si="69"/>
        <v>0.21376081349444576</v>
      </c>
      <c r="K908">
        <f t="shared" si="70"/>
        <v>4.6451168600469828</v>
      </c>
      <c r="L908" s="33">
        <f t="shared" si="71"/>
        <v>14.039658253750531</v>
      </c>
    </row>
    <row r="909" spans="3:12" x14ac:dyDescent="0.3">
      <c r="C909">
        <v>81.241660356754437</v>
      </c>
      <c r="D909">
        <v>69.139656665647635</v>
      </c>
      <c r="E909">
        <v>90.536914512849762</v>
      </c>
      <c r="F909">
        <v>131.33012463265914</v>
      </c>
      <c r="H909" s="33">
        <f t="shared" si="67"/>
        <v>24.833207135088742</v>
      </c>
      <c r="I909">
        <f t="shared" si="68"/>
        <v>1.7206866687047295</v>
      </c>
      <c r="J909">
        <f t="shared" si="69"/>
        <v>10.738290256995242</v>
      </c>
      <c r="K909">
        <f t="shared" si="70"/>
        <v>26.602492653182708</v>
      </c>
      <c r="L909" s="33">
        <f t="shared" si="71"/>
        <v>63.894676713971421</v>
      </c>
    </row>
    <row r="910" spans="3:12" x14ac:dyDescent="0.3">
      <c r="C910">
        <v>80.321911102219019</v>
      </c>
      <c r="D910">
        <v>70.160684976435732</v>
      </c>
      <c r="E910">
        <v>89.125054728210671</v>
      </c>
      <c r="F910">
        <v>128.96251210884657</v>
      </c>
      <c r="H910" s="33">
        <f t="shared" si="67"/>
        <v>6.4382220443803817</v>
      </c>
      <c r="I910">
        <f t="shared" si="68"/>
        <v>3.2136995287146419</v>
      </c>
      <c r="J910">
        <f t="shared" si="69"/>
        <v>1.7498905435786583</v>
      </c>
      <c r="K910">
        <f t="shared" si="70"/>
        <v>2.0749757823068649</v>
      </c>
      <c r="L910" s="33">
        <f t="shared" si="71"/>
        <v>13.476787898980547</v>
      </c>
    </row>
    <row r="911" spans="3:12" x14ac:dyDescent="0.3">
      <c r="C911">
        <v>79.808702568770968</v>
      </c>
      <c r="D911">
        <v>69.297513113560854</v>
      </c>
      <c r="E911">
        <v>90.569273197470466</v>
      </c>
      <c r="F911">
        <v>128.98901023698272</v>
      </c>
      <c r="H911" s="33">
        <f t="shared" si="67"/>
        <v>0.38259486245806329</v>
      </c>
      <c r="I911">
        <f t="shared" si="68"/>
        <v>1.4049737728782929</v>
      </c>
      <c r="J911">
        <f t="shared" si="69"/>
        <v>11.385463949409313</v>
      </c>
      <c r="K911">
        <f t="shared" si="70"/>
        <v>2.0219795260345563</v>
      </c>
      <c r="L911" s="33">
        <f t="shared" si="71"/>
        <v>15.195012110780226</v>
      </c>
    </row>
    <row r="912" spans="3:12" x14ac:dyDescent="0.3">
      <c r="C912">
        <v>79.921546987025067</v>
      </c>
      <c r="D912">
        <v>68.947989752196008</v>
      </c>
      <c r="E912">
        <v>90.503891897096764</v>
      </c>
      <c r="F912">
        <v>130.95096083896351</v>
      </c>
      <c r="H912" s="33">
        <f t="shared" si="67"/>
        <v>0.15690602594986558</v>
      </c>
      <c r="I912">
        <f t="shared" si="68"/>
        <v>2.1040204956079833</v>
      </c>
      <c r="J912">
        <f t="shared" si="69"/>
        <v>10.077837941935286</v>
      </c>
      <c r="K912">
        <f t="shared" si="70"/>
        <v>19.019216779270209</v>
      </c>
      <c r="L912" s="33">
        <f t="shared" si="71"/>
        <v>31.357981242763344</v>
      </c>
    </row>
    <row r="913" spans="3:12" x14ac:dyDescent="0.3">
      <c r="C913">
        <v>79.230306002573343</v>
      </c>
      <c r="D913">
        <v>69.316769390134141</v>
      </c>
      <c r="E913">
        <v>88.698419858556008</v>
      </c>
      <c r="F913">
        <v>130.20487277652137</v>
      </c>
      <c r="H913" s="33">
        <f t="shared" si="67"/>
        <v>1.539387994853314</v>
      </c>
      <c r="I913">
        <f t="shared" si="68"/>
        <v>1.3664612197317183</v>
      </c>
      <c r="J913">
        <f t="shared" si="69"/>
        <v>2.6031602828879841</v>
      </c>
      <c r="K913">
        <f t="shared" si="70"/>
        <v>4.0974555304273963</v>
      </c>
      <c r="L913" s="33">
        <f t="shared" si="71"/>
        <v>9.6064650279004127</v>
      </c>
    </row>
    <row r="914" spans="3:12" x14ac:dyDescent="0.3">
      <c r="C914">
        <v>79.177476865952485</v>
      </c>
      <c r="D914">
        <v>68.772923390788492</v>
      </c>
      <c r="E914">
        <v>89.768255065646372</v>
      </c>
      <c r="F914">
        <v>131.87145815289114</v>
      </c>
      <c r="H914" s="33">
        <f t="shared" si="67"/>
        <v>1.6450462680950295</v>
      </c>
      <c r="I914">
        <f t="shared" si="68"/>
        <v>2.4541532184230164</v>
      </c>
      <c r="J914">
        <f t="shared" si="69"/>
        <v>0.46348986870725639</v>
      </c>
      <c r="K914">
        <f t="shared" si="70"/>
        <v>37.429163057822734</v>
      </c>
      <c r="L914" s="33">
        <f t="shared" si="71"/>
        <v>41.991852413048036</v>
      </c>
    </row>
    <row r="915" spans="3:12" x14ac:dyDescent="0.3">
      <c r="C915">
        <v>79.575112497041118</v>
      </c>
      <c r="D915">
        <v>70.473803538625361</v>
      </c>
      <c r="E915">
        <v>90.884633664099965</v>
      </c>
      <c r="F915">
        <v>129.99223518898361</v>
      </c>
      <c r="H915" s="33">
        <f t="shared" si="67"/>
        <v>0.84977500591776334</v>
      </c>
      <c r="I915">
        <f t="shared" si="68"/>
        <v>9.476070772507228</v>
      </c>
      <c r="J915">
        <f t="shared" si="69"/>
        <v>17.692673281999305</v>
      </c>
      <c r="K915">
        <f t="shared" si="70"/>
        <v>1.552962203277275E-2</v>
      </c>
      <c r="L915" s="33">
        <f t="shared" si="71"/>
        <v>28.034048682457069</v>
      </c>
    </row>
    <row r="916" spans="3:12" x14ac:dyDescent="0.3">
      <c r="C916">
        <v>80.754964730731444</v>
      </c>
      <c r="D916">
        <v>67.887798599549569</v>
      </c>
      <c r="E916">
        <v>89.645525576852378</v>
      </c>
      <c r="F916">
        <v>129.91072286320559</v>
      </c>
      <c r="H916" s="33">
        <f t="shared" si="67"/>
        <v>15.099294614628889</v>
      </c>
      <c r="I916">
        <f t="shared" si="68"/>
        <v>4.2244028009008616</v>
      </c>
      <c r="J916">
        <f t="shared" si="69"/>
        <v>0.70894884629524313</v>
      </c>
      <c r="K916">
        <f t="shared" si="70"/>
        <v>0.1785542735888157</v>
      </c>
      <c r="L916" s="33">
        <f t="shared" si="71"/>
        <v>20.211200535413809</v>
      </c>
    </row>
    <row r="917" spans="3:12" x14ac:dyDescent="0.3">
      <c r="C917">
        <v>79.238611962937284</v>
      </c>
      <c r="D917">
        <v>70.699552629157552</v>
      </c>
      <c r="E917">
        <v>90.257757619692711</v>
      </c>
      <c r="F917">
        <v>130.07991047823452</v>
      </c>
      <c r="H917" s="33">
        <f t="shared" si="67"/>
        <v>1.5227760741254315</v>
      </c>
      <c r="I917">
        <f t="shared" si="68"/>
        <v>13.991052583151031</v>
      </c>
      <c r="J917">
        <f t="shared" si="69"/>
        <v>5.1551523938542232</v>
      </c>
      <c r="K917">
        <f t="shared" si="70"/>
        <v>1.5982095646904781</v>
      </c>
      <c r="L917" s="33">
        <f t="shared" si="71"/>
        <v>22.267190615821164</v>
      </c>
    </row>
    <row r="918" spans="3:12" x14ac:dyDescent="0.3">
      <c r="C918">
        <v>79.510646375711076</v>
      </c>
      <c r="D918">
        <v>68.675043570983689</v>
      </c>
      <c r="E918">
        <v>89.176188794081099</v>
      </c>
      <c r="F918">
        <v>128.42624220036669</v>
      </c>
      <c r="H918" s="33">
        <f t="shared" si="67"/>
        <v>0.97870724857784808</v>
      </c>
      <c r="I918">
        <f t="shared" si="68"/>
        <v>2.6499128580326214</v>
      </c>
      <c r="J918">
        <f t="shared" si="69"/>
        <v>1.6476224118378013</v>
      </c>
      <c r="K918">
        <f t="shared" si="70"/>
        <v>3.1475155992666259</v>
      </c>
      <c r="L918" s="33">
        <f t="shared" si="71"/>
        <v>8.4237581177148968</v>
      </c>
    </row>
    <row r="919" spans="3:12" x14ac:dyDescent="0.3">
      <c r="C919">
        <v>78.258908817660995</v>
      </c>
      <c r="D919">
        <v>70.090352614279254</v>
      </c>
      <c r="E919">
        <v>91.626876837690361</v>
      </c>
      <c r="F919">
        <v>131.17912350106053</v>
      </c>
      <c r="H919" s="33">
        <f t="shared" ref="H919:H982" si="72">IF(C919&gt;$C$19,(C919-$C$19)*$I$11,($C$19-C919)*$H$11)</f>
        <v>3.4821823646780103</v>
      </c>
      <c r="I919">
        <f t="shared" ref="I919:I982" si="73">IF(D919&gt;$D$19,(D919-$D$19)*$I$11,($D$19-D919)*$H$11)</f>
        <v>1.8070522855850868</v>
      </c>
      <c r="J919">
        <f t="shared" ref="J919:J982" si="74">IF(E919&gt;$E$19,(E919-$E$19)*$I$11,($E$19-E919)*$H$11)</f>
        <v>32.537536753807217</v>
      </c>
      <c r="K919">
        <f t="shared" ref="K919:K982" si="75">IF(F919&gt;$F$19,(F919-$F$19)*$I$11,($F$19-F919)*$H$11)</f>
        <v>23.582470021210611</v>
      </c>
      <c r="L919" s="33">
        <f t="shared" ref="L919:L982" si="76">SUM(H919:K919)</f>
        <v>61.409241425280925</v>
      </c>
    </row>
    <row r="920" spans="3:12" x14ac:dyDescent="0.3">
      <c r="C920">
        <v>79.932285845716251</v>
      </c>
      <c r="D920">
        <v>67.771992639172822</v>
      </c>
      <c r="E920">
        <v>92.171309461118653</v>
      </c>
      <c r="F920">
        <v>131.67374764714623</v>
      </c>
      <c r="H920" s="33">
        <f t="shared" si="72"/>
        <v>0.13542830856749788</v>
      </c>
      <c r="I920">
        <f t="shared" si="73"/>
        <v>4.4560147216543555</v>
      </c>
      <c r="J920">
        <f t="shared" si="74"/>
        <v>43.426189222373068</v>
      </c>
      <c r="K920">
        <f t="shared" si="75"/>
        <v>33.474952942924574</v>
      </c>
      <c r="L920" s="33">
        <f t="shared" si="76"/>
        <v>81.492585195519496</v>
      </c>
    </row>
    <row r="921" spans="3:12" x14ac:dyDescent="0.3">
      <c r="C921">
        <v>77.605955286417156</v>
      </c>
      <c r="D921">
        <v>69.197166289377492</v>
      </c>
      <c r="E921">
        <v>90.841992005007342</v>
      </c>
      <c r="F921">
        <v>129.7001680185349</v>
      </c>
      <c r="H921" s="33">
        <f t="shared" si="72"/>
        <v>4.7880894271656871</v>
      </c>
      <c r="I921">
        <f t="shared" si="73"/>
        <v>1.6056674212450162</v>
      </c>
      <c r="J921">
        <f t="shared" si="74"/>
        <v>16.83984010014683</v>
      </c>
      <c r="K921">
        <f t="shared" si="75"/>
        <v>0.59966396293020807</v>
      </c>
      <c r="L921" s="33">
        <f t="shared" si="76"/>
        <v>23.833260911487741</v>
      </c>
    </row>
    <row r="922" spans="3:12" x14ac:dyDescent="0.3">
      <c r="C922">
        <v>79.619005848217057</v>
      </c>
      <c r="D922">
        <v>68.587422851414885</v>
      </c>
      <c r="E922">
        <v>91.310736479354091</v>
      </c>
      <c r="F922">
        <v>131.04011178336805</v>
      </c>
      <c r="H922" s="33">
        <f t="shared" si="72"/>
        <v>0.76198830356588587</v>
      </c>
      <c r="I922">
        <f t="shared" si="73"/>
        <v>2.8251542971702293</v>
      </c>
      <c r="J922">
        <f t="shared" si="74"/>
        <v>26.21472958708182</v>
      </c>
      <c r="K922">
        <f t="shared" si="75"/>
        <v>20.802235667360947</v>
      </c>
      <c r="L922" s="33">
        <f t="shared" si="76"/>
        <v>50.604107855178881</v>
      </c>
    </row>
    <row r="923" spans="3:12" x14ac:dyDescent="0.3">
      <c r="C923">
        <v>80.356837972503854</v>
      </c>
      <c r="D923">
        <v>70.104803348222049</v>
      </c>
      <c r="E923">
        <v>89.891811057750601</v>
      </c>
      <c r="F923">
        <v>130.24480868887622</v>
      </c>
      <c r="H923" s="33">
        <f t="shared" si="72"/>
        <v>7.1367594500770792</v>
      </c>
      <c r="I923">
        <f t="shared" si="73"/>
        <v>2.0960669644409791</v>
      </c>
      <c r="J923">
        <f t="shared" si="74"/>
        <v>0.21637788449879736</v>
      </c>
      <c r="K923">
        <f t="shared" si="75"/>
        <v>4.8961737775243819</v>
      </c>
      <c r="L923" s="33">
        <f t="shared" si="76"/>
        <v>14.345378076541238</v>
      </c>
    </row>
    <row r="924" spans="3:12" x14ac:dyDescent="0.3">
      <c r="C924">
        <v>80.941743110161042</v>
      </c>
      <c r="D924">
        <v>68.696453076263424</v>
      </c>
      <c r="E924">
        <v>88.963035068300087</v>
      </c>
      <c r="F924">
        <v>128.91605511948001</v>
      </c>
      <c r="H924" s="33">
        <f t="shared" si="72"/>
        <v>18.834862203220837</v>
      </c>
      <c r="I924">
        <f t="shared" si="73"/>
        <v>2.607093847473152</v>
      </c>
      <c r="J924">
        <f t="shared" si="74"/>
        <v>2.073929863399826</v>
      </c>
      <c r="K924">
        <f t="shared" si="75"/>
        <v>2.1678897610399872</v>
      </c>
      <c r="L924" s="33">
        <f t="shared" si="76"/>
        <v>25.683775675133802</v>
      </c>
    </row>
    <row r="925" spans="3:12" x14ac:dyDescent="0.3">
      <c r="C925">
        <v>80.258311274592415</v>
      </c>
      <c r="D925">
        <v>70.460834144178079</v>
      </c>
      <c r="E925">
        <v>90.464240201836219</v>
      </c>
      <c r="F925">
        <v>131.79742528416682</v>
      </c>
      <c r="H925" s="33">
        <f t="shared" si="72"/>
        <v>5.1662254918483086</v>
      </c>
      <c r="I925">
        <f t="shared" si="73"/>
        <v>9.2166828835615888</v>
      </c>
      <c r="J925">
        <f t="shared" si="74"/>
        <v>9.2848040367243811</v>
      </c>
      <c r="K925">
        <f t="shared" si="75"/>
        <v>35.948505683336407</v>
      </c>
      <c r="L925" s="33">
        <f t="shared" si="76"/>
        <v>59.616218095470686</v>
      </c>
    </row>
    <row r="926" spans="3:12" x14ac:dyDescent="0.3">
      <c r="C926">
        <v>79.461759898622404</v>
      </c>
      <c r="D926">
        <v>69.944932369544404</v>
      </c>
      <c r="E926">
        <v>90.868235474626999</v>
      </c>
      <c r="F926">
        <v>129.3443350376765</v>
      </c>
      <c r="H926" s="33">
        <f t="shared" si="72"/>
        <v>1.0764802027551923</v>
      </c>
      <c r="I926">
        <f t="shared" si="73"/>
        <v>0.11013526091119274</v>
      </c>
      <c r="J926">
        <f t="shared" si="74"/>
        <v>17.364709492539987</v>
      </c>
      <c r="K926">
        <f t="shared" si="75"/>
        <v>1.3113299246469978</v>
      </c>
      <c r="L926" s="33">
        <f t="shared" si="76"/>
        <v>19.86265488085337</v>
      </c>
    </row>
    <row r="927" spans="3:12" x14ac:dyDescent="0.3">
      <c r="C927">
        <v>80.169759459822671</v>
      </c>
      <c r="D927">
        <v>68.755688466189895</v>
      </c>
      <c r="E927">
        <v>89.006831785663962</v>
      </c>
      <c r="F927">
        <v>129.20579512036056</v>
      </c>
      <c r="H927" s="33">
        <f t="shared" si="72"/>
        <v>3.3951891964534298</v>
      </c>
      <c r="I927">
        <f t="shared" si="73"/>
        <v>2.4886230676202103</v>
      </c>
      <c r="J927">
        <f t="shared" si="74"/>
        <v>1.9863364286720753</v>
      </c>
      <c r="K927">
        <f t="shared" si="75"/>
        <v>1.5884097592788748</v>
      </c>
      <c r="L927" s="33">
        <f t="shared" si="76"/>
        <v>9.4585584520245902</v>
      </c>
    </row>
    <row r="928" spans="3:12" x14ac:dyDescent="0.3">
      <c r="C928">
        <v>81.90184437087737</v>
      </c>
      <c r="D928">
        <v>70.356592408934375</v>
      </c>
      <c r="E928">
        <v>90.619759248365881</v>
      </c>
      <c r="F928">
        <v>131.57112481247168</v>
      </c>
      <c r="H928" s="33">
        <f t="shared" si="72"/>
        <v>38.036887417547405</v>
      </c>
      <c r="I928">
        <f t="shared" si="73"/>
        <v>7.1318481786875054</v>
      </c>
      <c r="J928">
        <f t="shared" si="74"/>
        <v>12.395184967317618</v>
      </c>
      <c r="K928">
        <f t="shared" si="75"/>
        <v>31.422496249433607</v>
      </c>
      <c r="L928" s="33">
        <f t="shared" si="76"/>
        <v>88.986416812986135</v>
      </c>
    </row>
    <row r="929" spans="3:12" x14ac:dyDescent="0.3">
      <c r="C929">
        <v>80.730071860743919</v>
      </c>
      <c r="D929">
        <v>70.699747033650056</v>
      </c>
      <c r="E929">
        <v>88.610489910788601</v>
      </c>
      <c r="F929">
        <v>128.94158236202202</v>
      </c>
      <c r="H929" s="33">
        <f t="shared" si="72"/>
        <v>14.601437214878388</v>
      </c>
      <c r="I929">
        <f t="shared" si="73"/>
        <v>13.994940673001111</v>
      </c>
      <c r="J929">
        <f t="shared" si="74"/>
        <v>2.7790201784227975</v>
      </c>
      <c r="K929">
        <f t="shared" si="75"/>
        <v>2.1168352759559639</v>
      </c>
      <c r="L929" s="33">
        <f t="shared" si="76"/>
        <v>33.49223334225826</v>
      </c>
    </row>
    <row r="930" spans="3:12" x14ac:dyDescent="0.3">
      <c r="C930">
        <v>81.025896381179336</v>
      </c>
      <c r="D930">
        <v>70.97935981102637</v>
      </c>
      <c r="E930">
        <v>89.8960424818506</v>
      </c>
      <c r="F930">
        <v>129.47181322568213</v>
      </c>
      <c r="H930" s="33">
        <f t="shared" si="72"/>
        <v>20.517927623586729</v>
      </c>
      <c r="I930">
        <f t="shared" si="73"/>
        <v>19.587196220527403</v>
      </c>
      <c r="J930">
        <f t="shared" si="74"/>
        <v>0.20791503629880026</v>
      </c>
      <c r="K930">
        <f t="shared" si="75"/>
        <v>1.0563735486357473</v>
      </c>
      <c r="L930" s="33">
        <f t="shared" si="76"/>
        <v>41.36941242904868</v>
      </c>
    </row>
    <row r="931" spans="3:12" x14ac:dyDescent="0.3">
      <c r="C931">
        <v>79.253855094138999</v>
      </c>
      <c r="D931">
        <v>68.3342695486499</v>
      </c>
      <c r="E931">
        <v>90.459219791082432</v>
      </c>
      <c r="F931">
        <v>129.37820120976539</v>
      </c>
      <c r="H931" s="33">
        <f t="shared" si="72"/>
        <v>1.4922898117220029</v>
      </c>
      <c r="I931">
        <f t="shared" si="73"/>
        <v>3.3314609027002007</v>
      </c>
      <c r="J931">
        <f t="shared" si="74"/>
        <v>9.1843958216486499</v>
      </c>
      <c r="K931">
        <f t="shared" si="75"/>
        <v>1.2435975804692134</v>
      </c>
      <c r="L931" s="33">
        <f t="shared" si="76"/>
        <v>15.251744116540067</v>
      </c>
    </row>
    <row r="932" spans="3:12" x14ac:dyDescent="0.3">
      <c r="C932">
        <v>80.383793121727649</v>
      </c>
      <c r="D932">
        <v>69.545450464211171</v>
      </c>
      <c r="E932">
        <v>90.256570729106897</v>
      </c>
      <c r="F932">
        <v>129.79403355609975</v>
      </c>
      <c r="H932" s="33">
        <f t="shared" si="72"/>
        <v>7.6758624345529824</v>
      </c>
      <c r="I932">
        <f t="shared" si="73"/>
        <v>0.90909907157765701</v>
      </c>
      <c r="J932">
        <f t="shared" si="74"/>
        <v>5.1314145821379498</v>
      </c>
      <c r="K932">
        <f t="shared" si="75"/>
        <v>0.41193288780050352</v>
      </c>
      <c r="L932" s="33">
        <f t="shared" si="76"/>
        <v>14.128308976069093</v>
      </c>
    </row>
    <row r="933" spans="3:12" x14ac:dyDescent="0.3">
      <c r="C933">
        <v>81.413613972545136</v>
      </c>
      <c r="D933">
        <v>70.012202008292661</v>
      </c>
      <c r="E933">
        <v>90.608213213126874</v>
      </c>
      <c r="F933">
        <v>129.35510913928738</v>
      </c>
      <c r="H933" s="33">
        <f t="shared" si="72"/>
        <v>28.272279450902715</v>
      </c>
      <c r="I933">
        <f t="shared" si="73"/>
        <v>0.24404016585322097</v>
      </c>
      <c r="J933">
        <f t="shared" si="74"/>
        <v>12.164264262537472</v>
      </c>
      <c r="K933">
        <f t="shared" si="75"/>
        <v>1.2897817214252427</v>
      </c>
      <c r="L933" s="33">
        <f t="shared" si="76"/>
        <v>41.970365600718651</v>
      </c>
    </row>
    <row r="934" spans="3:12" x14ac:dyDescent="0.3">
      <c r="C934">
        <v>79.541801116720308</v>
      </c>
      <c r="D934">
        <v>69.143085460673319</v>
      </c>
      <c r="E934">
        <v>89.26762939139735</v>
      </c>
      <c r="F934">
        <v>131.72461113834288</v>
      </c>
      <c r="H934" s="33">
        <f t="shared" si="72"/>
        <v>0.91639776655938476</v>
      </c>
      <c r="I934">
        <f t="shared" si="73"/>
        <v>1.7138290786533616</v>
      </c>
      <c r="J934">
        <f t="shared" si="74"/>
        <v>1.4647412172053009</v>
      </c>
      <c r="K934">
        <f t="shared" si="75"/>
        <v>34.492222766857594</v>
      </c>
      <c r="L934" s="33">
        <f t="shared" si="76"/>
        <v>38.587190829275642</v>
      </c>
    </row>
    <row r="935" spans="3:12" x14ac:dyDescent="0.3">
      <c r="C935">
        <v>79.952667621982982</v>
      </c>
      <c r="D935">
        <v>68.918392520863563</v>
      </c>
      <c r="E935">
        <v>90.876179910846986</v>
      </c>
      <c r="F935">
        <v>129.68902784530655</v>
      </c>
      <c r="H935" s="33">
        <f t="shared" si="72"/>
        <v>9.4664756034035236E-2</v>
      </c>
      <c r="I935">
        <f t="shared" si="73"/>
        <v>2.1632149582728744</v>
      </c>
      <c r="J935">
        <f t="shared" si="74"/>
        <v>17.523598216939718</v>
      </c>
      <c r="K935">
        <f t="shared" si="75"/>
        <v>0.62194430938689038</v>
      </c>
      <c r="L935" s="33">
        <f t="shared" si="76"/>
        <v>20.403422240633518</v>
      </c>
    </row>
    <row r="936" spans="3:12" x14ac:dyDescent="0.3">
      <c r="C936">
        <v>79.65219785735826</v>
      </c>
      <c r="D936">
        <v>70.322394271279336</v>
      </c>
      <c r="E936">
        <v>88.606463122996502</v>
      </c>
      <c r="F936">
        <v>130.08835513654049</v>
      </c>
      <c r="H936" s="33">
        <f t="shared" si="72"/>
        <v>0.69560428528347984</v>
      </c>
      <c r="I936">
        <f t="shared" si="73"/>
        <v>6.4478854255867191</v>
      </c>
      <c r="J936">
        <f t="shared" si="74"/>
        <v>2.7870737540069968</v>
      </c>
      <c r="K936">
        <f t="shared" si="75"/>
        <v>1.7671027308097109</v>
      </c>
      <c r="L936" s="33">
        <f t="shared" si="76"/>
        <v>11.697666195686907</v>
      </c>
    </row>
    <row r="937" spans="3:12" x14ac:dyDescent="0.3">
      <c r="C937">
        <v>80.84614157458418</v>
      </c>
      <c r="D937">
        <v>70.264723212239915</v>
      </c>
      <c r="E937">
        <v>91.584671736054588</v>
      </c>
      <c r="F937">
        <v>129.80363554641372</v>
      </c>
      <c r="H937" s="33">
        <f t="shared" si="72"/>
        <v>16.92283149168361</v>
      </c>
      <c r="I937">
        <f t="shared" si="73"/>
        <v>5.2944642447982915</v>
      </c>
      <c r="J937">
        <f t="shared" si="74"/>
        <v>31.693434721091762</v>
      </c>
      <c r="K937">
        <f t="shared" si="75"/>
        <v>0.39272890717256814</v>
      </c>
      <c r="L937" s="33">
        <f t="shared" si="76"/>
        <v>54.303459364746232</v>
      </c>
    </row>
    <row r="938" spans="3:12" x14ac:dyDescent="0.3">
      <c r="C938">
        <v>79.38874680083245</v>
      </c>
      <c r="D938">
        <v>70.451497044196003</v>
      </c>
      <c r="E938">
        <v>90.657468035569764</v>
      </c>
      <c r="F938">
        <v>129.60514969643555</v>
      </c>
      <c r="H938" s="33">
        <f t="shared" si="72"/>
        <v>1.2225063983350992</v>
      </c>
      <c r="I938">
        <f t="shared" si="73"/>
        <v>9.0299408839200623</v>
      </c>
      <c r="J938">
        <f t="shared" si="74"/>
        <v>13.149360711395275</v>
      </c>
      <c r="K938">
        <f t="shared" si="75"/>
        <v>0.789700607128907</v>
      </c>
      <c r="L938" s="33">
        <f t="shared" si="76"/>
        <v>24.191508600779343</v>
      </c>
    </row>
    <row r="939" spans="3:12" x14ac:dyDescent="0.3">
      <c r="C939">
        <v>81.303546923736576</v>
      </c>
      <c r="D939">
        <v>66.331753209233284</v>
      </c>
      <c r="E939">
        <v>89.793722054164391</v>
      </c>
      <c r="F939">
        <v>129.56848910187546</v>
      </c>
      <c r="H939" s="33">
        <f t="shared" si="72"/>
        <v>26.07093847473152</v>
      </c>
      <c r="I939">
        <f t="shared" si="73"/>
        <v>7.336493581533432</v>
      </c>
      <c r="J939">
        <f t="shared" si="74"/>
        <v>0.41255589167121798</v>
      </c>
      <c r="K939">
        <f t="shared" si="75"/>
        <v>0.86302179624908604</v>
      </c>
      <c r="L939" s="33">
        <f t="shared" si="76"/>
        <v>34.683009744185256</v>
      </c>
    </row>
    <row r="940" spans="3:12" x14ac:dyDescent="0.3">
      <c r="C940">
        <v>79.254562226269627</v>
      </c>
      <c r="D940">
        <v>69.408546500490047</v>
      </c>
      <c r="E940">
        <v>91.73554326465819</v>
      </c>
      <c r="F940">
        <v>128.34849404578563</v>
      </c>
      <c r="H940" s="33">
        <f t="shared" si="72"/>
        <v>1.490875547460746</v>
      </c>
      <c r="I940">
        <f t="shared" si="73"/>
        <v>1.1829069990199059</v>
      </c>
      <c r="J940">
        <f t="shared" si="74"/>
        <v>34.710865293163806</v>
      </c>
      <c r="K940">
        <f t="shared" si="75"/>
        <v>3.3030119084287435</v>
      </c>
      <c r="L940" s="33">
        <f t="shared" si="76"/>
        <v>40.687659748073202</v>
      </c>
    </row>
    <row r="941" spans="3:12" x14ac:dyDescent="0.3">
      <c r="C941">
        <v>78.267549017327838</v>
      </c>
      <c r="D941">
        <v>70.251199026024551</v>
      </c>
      <c r="E941">
        <v>90.756999725126661</v>
      </c>
      <c r="F941">
        <v>130.02207116267527</v>
      </c>
      <c r="H941" s="33">
        <f t="shared" si="72"/>
        <v>3.4649019653443247</v>
      </c>
      <c r="I941">
        <f t="shared" si="73"/>
        <v>5.0239805204910226</v>
      </c>
      <c r="J941">
        <f t="shared" si="74"/>
        <v>15.139994502533227</v>
      </c>
      <c r="K941">
        <f t="shared" si="75"/>
        <v>0.44142325350549072</v>
      </c>
      <c r="L941" s="33">
        <f t="shared" si="76"/>
        <v>24.070300241874065</v>
      </c>
    </row>
    <row r="942" spans="3:12" x14ac:dyDescent="0.3">
      <c r="C942">
        <v>79.659339664503932</v>
      </c>
      <c r="D942">
        <v>71.416528903064318</v>
      </c>
      <c r="E942">
        <v>88.934995346644428</v>
      </c>
      <c r="F942">
        <v>131.26243321574293</v>
      </c>
      <c r="H942" s="33">
        <f t="shared" si="72"/>
        <v>0.681320670992136</v>
      </c>
      <c r="I942">
        <f t="shared" si="73"/>
        <v>28.33057806128636</v>
      </c>
      <c r="J942">
        <f t="shared" si="74"/>
        <v>2.1300093067111447</v>
      </c>
      <c r="K942">
        <f t="shared" si="75"/>
        <v>25.248664314858615</v>
      </c>
      <c r="L942" s="33">
        <f t="shared" si="76"/>
        <v>56.390572353848256</v>
      </c>
    </row>
    <row r="943" spans="3:12" x14ac:dyDescent="0.3">
      <c r="C943">
        <v>79.229275999823585</v>
      </c>
      <c r="D943">
        <v>69.602418938593473</v>
      </c>
      <c r="E943">
        <v>90.488319074065657</v>
      </c>
      <c r="F943">
        <v>129.00870761848637</v>
      </c>
      <c r="H943" s="33">
        <f t="shared" si="72"/>
        <v>1.5414480003528297</v>
      </c>
      <c r="I943">
        <f t="shared" si="73"/>
        <v>0.79516212281305343</v>
      </c>
      <c r="J943">
        <f t="shared" si="74"/>
        <v>9.7663814813131467</v>
      </c>
      <c r="K943">
        <f t="shared" si="75"/>
        <v>1.9825847630272619</v>
      </c>
      <c r="L943" s="33">
        <f t="shared" si="76"/>
        <v>14.085576367506292</v>
      </c>
    </row>
    <row r="944" spans="3:12" x14ac:dyDescent="0.3">
      <c r="C944">
        <v>79.454494172823615</v>
      </c>
      <c r="D944">
        <v>70.327232783092768</v>
      </c>
      <c r="E944">
        <v>89.484609816136071</v>
      </c>
      <c r="F944">
        <v>129.765818756714</v>
      </c>
      <c r="H944" s="33">
        <f t="shared" si="72"/>
        <v>1.0910116543527693</v>
      </c>
      <c r="I944">
        <f t="shared" si="73"/>
        <v>6.5446556618553586</v>
      </c>
      <c r="J944">
        <f t="shared" si="74"/>
        <v>1.0307803677278571</v>
      </c>
      <c r="K944">
        <f t="shared" si="75"/>
        <v>0.46836248657200485</v>
      </c>
      <c r="L944" s="33">
        <f t="shared" si="76"/>
        <v>9.1348101705079898</v>
      </c>
    </row>
    <row r="945" spans="3:12" x14ac:dyDescent="0.3">
      <c r="C945">
        <v>79.513748889512499</v>
      </c>
      <c r="D945">
        <v>69.831870809430256</v>
      </c>
      <c r="E945">
        <v>90.359774503522203</v>
      </c>
      <c r="F945">
        <v>128.62382537685335</v>
      </c>
      <c r="H945" s="33">
        <f t="shared" si="72"/>
        <v>0.97250222097500227</v>
      </c>
      <c r="I945">
        <f t="shared" si="73"/>
        <v>0.33625838113948703</v>
      </c>
      <c r="J945">
        <f t="shared" si="74"/>
        <v>7.1954900704440661</v>
      </c>
      <c r="K945">
        <f t="shared" si="75"/>
        <v>2.7523492462933064</v>
      </c>
      <c r="L945" s="33">
        <f t="shared" si="76"/>
        <v>11.256599918851862</v>
      </c>
    </row>
    <row r="946" spans="3:12" x14ac:dyDescent="0.3">
      <c r="C946">
        <v>80.316839532388258</v>
      </c>
      <c r="D946">
        <v>70.280363110505277</v>
      </c>
      <c r="E946">
        <v>90.815035718915169</v>
      </c>
      <c r="F946">
        <v>130.52090172175667</v>
      </c>
      <c r="H946" s="33">
        <f t="shared" si="72"/>
        <v>6.3367906477651559</v>
      </c>
      <c r="I946">
        <f t="shared" si="73"/>
        <v>5.6072622101055458</v>
      </c>
      <c r="J946">
        <f t="shared" si="74"/>
        <v>16.300714378303383</v>
      </c>
      <c r="K946">
        <f t="shared" si="75"/>
        <v>10.41803443513345</v>
      </c>
      <c r="L946" s="33">
        <f t="shared" si="76"/>
        <v>38.662801671307534</v>
      </c>
    </row>
    <row r="947" spans="3:12" x14ac:dyDescent="0.3">
      <c r="C947">
        <v>80.901159182831179</v>
      </c>
      <c r="D947">
        <v>68.945459083188325</v>
      </c>
      <c r="E947">
        <v>89.121234850463225</v>
      </c>
      <c r="F947">
        <v>130.61809032558813</v>
      </c>
      <c r="H947" s="33">
        <f t="shared" si="72"/>
        <v>18.023183656623587</v>
      </c>
      <c r="I947">
        <f t="shared" si="73"/>
        <v>2.1090818336233497</v>
      </c>
      <c r="J947">
        <f t="shared" si="74"/>
        <v>1.7575302990735509</v>
      </c>
      <c r="K947">
        <f t="shared" si="75"/>
        <v>12.361806511762552</v>
      </c>
      <c r="L947" s="33">
        <f t="shared" si="76"/>
        <v>34.251602301083039</v>
      </c>
    </row>
    <row r="948" spans="3:12" x14ac:dyDescent="0.3">
      <c r="C948">
        <v>80.3464219844318</v>
      </c>
      <c r="D948">
        <v>69.501226284337463</v>
      </c>
      <c r="E948">
        <v>91.295359197683865</v>
      </c>
      <c r="F948">
        <v>128.51328084332636</v>
      </c>
      <c r="H948" s="33">
        <f t="shared" si="72"/>
        <v>6.92843968863599</v>
      </c>
      <c r="I948">
        <f t="shared" si="73"/>
        <v>0.99754743132507429</v>
      </c>
      <c r="J948">
        <f t="shared" si="74"/>
        <v>25.907183953677304</v>
      </c>
      <c r="K948">
        <f t="shared" si="75"/>
        <v>2.9734383133472875</v>
      </c>
      <c r="L948" s="33">
        <f t="shared" si="76"/>
        <v>36.806609386985656</v>
      </c>
    </row>
    <row r="949" spans="3:12" x14ac:dyDescent="0.3">
      <c r="C949">
        <v>79.106164523254847</v>
      </c>
      <c r="D949">
        <v>68.722316831845092</v>
      </c>
      <c r="E949">
        <v>88.996886461100075</v>
      </c>
      <c r="F949">
        <v>128.43904333829414</v>
      </c>
      <c r="H949" s="33">
        <f t="shared" si="72"/>
        <v>1.7876709534903057</v>
      </c>
      <c r="I949">
        <f t="shared" si="73"/>
        <v>2.5553663363098167</v>
      </c>
      <c r="J949">
        <f t="shared" si="74"/>
        <v>2.0062270777998492</v>
      </c>
      <c r="K949">
        <f t="shared" si="75"/>
        <v>3.121913323411718</v>
      </c>
      <c r="L949" s="33">
        <f t="shared" si="76"/>
        <v>9.4711776910116896</v>
      </c>
    </row>
    <row r="950" spans="3:12" x14ac:dyDescent="0.3">
      <c r="C950">
        <v>79.829931311978726</v>
      </c>
      <c r="D950">
        <v>70.290083335130475</v>
      </c>
      <c r="E950">
        <v>89.721862877777312</v>
      </c>
      <c r="F950">
        <v>130.41027988118003</v>
      </c>
      <c r="H950" s="33">
        <f t="shared" si="72"/>
        <v>0.34013737604254857</v>
      </c>
      <c r="I950">
        <f t="shared" si="73"/>
        <v>5.8016667026095092</v>
      </c>
      <c r="J950">
        <f t="shared" si="74"/>
        <v>0.5562742444453761</v>
      </c>
      <c r="K950">
        <f t="shared" si="75"/>
        <v>8.2055976236006245</v>
      </c>
      <c r="L950" s="33">
        <f t="shared" si="76"/>
        <v>14.903675946698058</v>
      </c>
    </row>
    <row r="951" spans="3:12" x14ac:dyDescent="0.3">
      <c r="C951">
        <v>80.629706846666522</v>
      </c>
      <c r="D951">
        <v>70.560121407033876</v>
      </c>
      <c r="E951">
        <v>90.406289473176003</v>
      </c>
      <c r="F951">
        <v>131.37874394567916</v>
      </c>
      <c r="H951" s="33">
        <f t="shared" si="72"/>
        <v>12.594136933330446</v>
      </c>
      <c r="I951">
        <f t="shared" si="73"/>
        <v>11.202428140677512</v>
      </c>
      <c r="J951">
        <f t="shared" si="74"/>
        <v>8.12578946352005</v>
      </c>
      <c r="K951">
        <f t="shared" si="75"/>
        <v>27.574878913583234</v>
      </c>
      <c r="L951" s="33">
        <f t="shared" si="76"/>
        <v>59.497233451111242</v>
      </c>
    </row>
    <row r="952" spans="3:12" x14ac:dyDescent="0.3">
      <c r="C952">
        <v>82.288725227117538</v>
      </c>
      <c r="D952">
        <v>68.658108779636677</v>
      </c>
      <c r="E952">
        <v>90.18693640413403</v>
      </c>
      <c r="F952">
        <v>128.99384420132264</v>
      </c>
      <c r="H952" s="33">
        <f t="shared" si="72"/>
        <v>45.774504542350769</v>
      </c>
      <c r="I952">
        <f t="shared" si="73"/>
        <v>2.6837824407266453</v>
      </c>
      <c r="J952">
        <f t="shared" si="74"/>
        <v>3.7387280826806091</v>
      </c>
      <c r="K952">
        <f t="shared" si="75"/>
        <v>2.0123115973547101</v>
      </c>
      <c r="L952" s="33">
        <f t="shared" si="76"/>
        <v>54.209326663112734</v>
      </c>
    </row>
    <row r="953" spans="3:12" x14ac:dyDescent="0.3">
      <c r="C953">
        <v>79.650733570888406</v>
      </c>
      <c r="D953">
        <v>70.464751792605966</v>
      </c>
      <c r="E953">
        <v>89.565463895123685</v>
      </c>
      <c r="F953">
        <v>129.62926722218981</v>
      </c>
      <c r="H953" s="33">
        <f t="shared" si="72"/>
        <v>0.69853285822318867</v>
      </c>
      <c r="I953">
        <f t="shared" si="73"/>
        <v>9.2950358521193266</v>
      </c>
      <c r="J953">
        <f t="shared" si="74"/>
        <v>0.86907220975263044</v>
      </c>
      <c r="K953">
        <f t="shared" si="75"/>
        <v>0.74146555562037975</v>
      </c>
      <c r="L953" s="33">
        <f t="shared" si="76"/>
        <v>11.604106475715525</v>
      </c>
    </row>
    <row r="954" spans="3:12" x14ac:dyDescent="0.3">
      <c r="C954">
        <v>79.919782567303628</v>
      </c>
      <c r="D954">
        <v>68.161447365419008</v>
      </c>
      <c r="E954">
        <v>88.378270902321674</v>
      </c>
      <c r="F954">
        <v>130.32054117582447</v>
      </c>
      <c r="H954" s="33">
        <f t="shared" si="72"/>
        <v>0.16043486539274454</v>
      </c>
      <c r="I954">
        <f t="shared" si="73"/>
        <v>3.6771052691619843</v>
      </c>
      <c r="J954">
        <f t="shared" si="74"/>
        <v>3.2434581953566521</v>
      </c>
      <c r="K954">
        <f t="shared" si="75"/>
        <v>6.4108235164894722</v>
      </c>
      <c r="L954" s="33">
        <f t="shared" si="76"/>
        <v>13.491821846400853</v>
      </c>
    </row>
    <row r="955" spans="3:12" x14ac:dyDescent="0.3">
      <c r="C955">
        <v>78.546854840242304</v>
      </c>
      <c r="D955">
        <v>69.314738943212433</v>
      </c>
      <c r="E955">
        <v>91.097673703043256</v>
      </c>
      <c r="F955">
        <v>130.94831875685486</v>
      </c>
      <c r="H955" s="33">
        <f t="shared" si="72"/>
        <v>2.9062903195153922</v>
      </c>
      <c r="I955">
        <f t="shared" si="73"/>
        <v>1.3705221135751344</v>
      </c>
      <c r="J955">
        <f t="shared" si="74"/>
        <v>21.953474060865119</v>
      </c>
      <c r="K955">
        <f t="shared" si="75"/>
        <v>18.966375137097202</v>
      </c>
      <c r="L955" s="33">
        <f t="shared" si="76"/>
        <v>45.196661631052848</v>
      </c>
    </row>
    <row r="956" spans="3:12" x14ac:dyDescent="0.3">
      <c r="C956">
        <v>79.130650394363329</v>
      </c>
      <c r="D956">
        <v>69.636387428836315</v>
      </c>
      <c r="E956">
        <v>88.952368969185045</v>
      </c>
      <c r="F956">
        <v>131.04723312688293</v>
      </c>
      <c r="H956" s="33">
        <f t="shared" si="72"/>
        <v>1.7386992112733424</v>
      </c>
      <c r="I956">
        <f t="shared" si="73"/>
        <v>0.72722514232737012</v>
      </c>
      <c r="J956">
        <f t="shared" si="74"/>
        <v>2.09526206162991</v>
      </c>
      <c r="K956">
        <f t="shared" si="75"/>
        <v>20.944662537658587</v>
      </c>
      <c r="L956" s="33">
        <f t="shared" si="76"/>
        <v>25.50584895288921</v>
      </c>
    </row>
    <row r="957" spans="3:12" x14ac:dyDescent="0.3">
      <c r="C957">
        <v>79.895427436058526</v>
      </c>
      <c r="D957">
        <v>70.070629084802931</v>
      </c>
      <c r="E957">
        <v>90.626912424195325</v>
      </c>
      <c r="F957">
        <v>129.65089727993472</v>
      </c>
      <c r="H957" s="33">
        <f t="shared" si="72"/>
        <v>0.20914512788294815</v>
      </c>
      <c r="I957">
        <f t="shared" si="73"/>
        <v>1.4125816960586235</v>
      </c>
      <c r="J957">
        <f t="shared" si="74"/>
        <v>12.5382484839065</v>
      </c>
      <c r="K957">
        <f t="shared" si="75"/>
        <v>0.69820544013055041</v>
      </c>
      <c r="L957" s="33">
        <f t="shared" si="76"/>
        <v>14.858180747978622</v>
      </c>
    </row>
    <row r="958" spans="3:12" x14ac:dyDescent="0.3">
      <c r="C958">
        <v>77.562044882215559</v>
      </c>
      <c r="D958">
        <v>70.58517798606772</v>
      </c>
      <c r="E958">
        <v>89.707281403971137</v>
      </c>
      <c r="F958">
        <v>128.92713958615786</v>
      </c>
      <c r="H958" s="33">
        <f t="shared" si="72"/>
        <v>4.875910235568881</v>
      </c>
      <c r="I958">
        <f t="shared" si="73"/>
        <v>11.703559721354395</v>
      </c>
      <c r="J958">
        <f t="shared" si="74"/>
        <v>0.58543719205772504</v>
      </c>
      <c r="K958">
        <f t="shared" si="75"/>
        <v>2.1457208276842721</v>
      </c>
      <c r="L958" s="33">
        <f t="shared" si="76"/>
        <v>19.310627976665273</v>
      </c>
    </row>
    <row r="959" spans="3:12" x14ac:dyDescent="0.3">
      <c r="C959">
        <v>79.022738847997971</v>
      </c>
      <c r="D959">
        <v>71.202595285576535</v>
      </c>
      <c r="E959">
        <v>90.050931703299284</v>
      </c>
      <c r="F959">
        <v>129.13432702669525</v>
      </c>
      <c r="H959" s="33">
        <f t="shared" si="72"/>
        <v>1.9545223040040582</v>
      </c>
      <c r="I959">
        <f t="shared" si="73"/>
        <v>24.051905711530708</v>
      </c>
      <c r="J959">
        <f t="shared" si="74"/>
        <v>1.0186340659856796</v>
      </c>
      <c r="K959">
        <f t="shared" si="75"/>
        <v>1.7313459466095082</v>
      </c>
      <c r="L959" s="33">
        <f t="shared" si="76"/>
        <v>28.756408028129954</v>
      </c>
    </row>
    <row r="960" spans="3:12" x14ac:dyDescent="0.3">
      <c r="C960">
        <v>79.313577063730918</v>
      </c>
      <c r="D960">
        <v>68.776329448446631</v>
      </c>
      <c r="E960">
        <v>89.721466110713664</v>
      </c>
      <c r="F960">
        <v>129.79871972755063</v>
      </c>
      <c r="H960" s="33">
        <f t="shared" si="72"/>
        <v>1.3728458725381643</v>
      </c>
      <c r="I960">
        <f t="shared" si="73"/>
        <v>2.4473411031067371</v>
      </c>
      <c r="J960">
        <f t="shared" si="74"/>
        <v>0.55706777857267298</v>
      </c>
      <c r="K960">
        <f t="shared" si="75"/>
        <v>0.4025605448987335</v>
      </c>
      <c r="L960" s="33">
        <f t="shared" si="76"/>
        <v>4.7798152991163079</v>
      </c>
    </row>
    <row r="961" spans="3:12" x14ac:dyDescent="0.3">
      <c r="C961">
        <v>81.642592906136997</v>
      </c>
      <c r="D961">
        <v>71.535845512989908</v>
      </c>
      <c r="E961">
        <v>91.025637175189331</v>
      </c>
      <c r="F961">
        <v>129.93052142599481</v>
      </c>
      <c r="H961" s="33">
        <f t="shared" si="72"/>
        <v>32.851858122739941</v>
      </c>
      <c r="I961">
        <f t="shared" si="73"/>
        <v>30.716910259798169</v>
      </c>
      <c r="J961">
        <f t="shared" si="74"/>
        <v>20.512743503786623</v>
      </c>
      <c r="K961">
        <f t="shared" si="75"/>
        <v>0.13895714801037684</v>
      </c>
      <c r="L961" s="33">
        <f t="shared" si="76"/>
        <v>84.22046903433511</v>
      </c>
    </row>
    <row r="962" spans="3:12" x14ac:dyDescent="0.3">
      <c r="C962">
        <v>80.439586074207909</v>
      </c>
      <c r="D962">
        <v>69.924232270132052</v>
      </c>
      <c r="E962">
        <v>88.637304088333622</v>
      </c>
      <c r="F962">
        <v>132.10865437111352</v>
      </c>
      <c r="H962" s="33">
        <f t="shared" si="72"/>
        <v>8.7917214841581881</v>
      </c>
      <c r="I962">
        <f t="shared" si="73"/>
        <v>0.15153545973589644</v>
      </c>
      <c r="J962">
        <f t="shared" si="74"/>
        <v>2.7253918233327568</v>
      </c>
      <c r="K962">
        <f t="shared" si="75"/>
        <v>42.173087422270328</v>
      </c>
      <c r="L962" s="33">
        <f t="shared" si="76"/>
        <v>53.841736189497169</v>
      </c>
    </row>
    <row r="963" spans="3:12" x14ac:dyDescent="0.3">
      <c r="C963">
        <v>79.949375251162564</v>
      </c>
      <c r="D963">
        <v>70.738084509066539</v>
      </c>
      <c r="E963">
        <v>90.258232830674388</v>
      </c>
      <c r="F963">
        <v>129.63753111842379</v>
      </c>
      <c r="H963" s="33">
        <f t="shared" si="72"/>
        <v>0.10124949767487124</v>
      </c>
      <c r="I963">
        <f t="shared" si="73"/>
        <v>14.761690181330778</v>
      </c>
      <c r="J963">
        <f t="shared" si="74"/>
        <v>5.1646566134877503</v>
      </c>
      <c r="K963">
        <f t="shared" si="75"/>
        <v>0.72493776315241121</v>
      </c>
      <c r="L963" s="33">
        <f t="shared" si="76"/>
        <v>20.75253405564581</v>
      </c>
    </row>
    <row r="964" spans="3:12" x14ac:dyDescent="0.3">
      <c r="C964">
        <v>79.331955677916994</v>
      </c>
      <c r="D964">
        <v>71.126927600125782</v>
      </c>
      <c r="E964">
        <v>90.429664623879944</v>
      </c>
      <c r="F964">
        <v>129.4565359884291</v>
      </c>
      <c r="H964" s="33">
        <f t="shared" si="72"/>
        <v>1.3360886441660114</v>
      </c>
      <c r="I964">
        <f t="shared" si="73"/>
        <v>22.538552002515644</v>
      </c>
      <c r="J964">
        <f t="shared" si="74"/>
        <v>8.5932924775988795</v>
      </c>
      <c r="K964">
        <f t="shared" si="75"/>
        <v>1.0869280231418088</v>
      </c>
      <c r="L964" s="33">
        <f t="shared" si="76"/>
        <v>33.554861147422343</v>
      </c>
    </row>
    <row r="965" spans="3:12" x14ac:dyDescent="0.3">
      <c r="C965">
        <v>79.976704430082464</v>
      </c>
      <c r="D965">
        <v>67.025006450712681</v>
      </c>
      <c r="E965">
        <v>89.218005086731864</v>
      </c>
      <c r="F965">
        <v>129.87879846230499</v>
      </c>
      <c r="H965" s="33">
        <f t="shared" si="72"/>
        <v>4.6591139835072681E-2</v>
      </c>
      <c r="I965">
        <f t="shared" si="73"/>
        <v>5.9499870985746384</v>
      </c>
      <c r="J965">
        <f t="shared" si="74"/>
        <v>1.5639898265362717</v>
      </c>
      <c r="K965">
        <f t="shared" si="75"/>
        <v>0.2424030753900297</v>
      </c>
      <c r="L965" s="33">
        <f t="shared" si="76"/>
        <v>7.8029711403360125</v>
      </c>
    </row>
    <row r="966" spans="3:12" x14ac:dyDescent="0.3">
      <c r="C966">
        <v>78.84282260609325</v>
      </c>
      <c r="D966">
        <v>70.026892621463048</v>
      </c>
      <c r="E966">
        <v>88.74936065680231</v>
      </c>
      <c r="F966">
        <v>128.88269258008222</v>
      </c>
      <c r="H966" s="33">
        <f t="shared" si="72"/>
        <v>2.3143547878134996</v>
      </c>
      <c r="I966">
        <f t="shared" si="73"/>
        <v>0.53785242926096544</v>
      </c>
      <c r="J966">
        <f t="shared" si="74"/>
        <v>2.5012786863953806</v>
      </c>
      <c r="K966">
        <f t="shared" si="75"/>
        <v>2.2346148398355581</v>
      </c>
      <c r="L966" s="33">
        <f t="shared" si="76"/>
        <v>7.5881007433054037</v>
      </c>
    </row>
    <row r="967" spans="3:12" x14ac:dyDescent="0.3">
      <c r="C967">
        <v>80.339282451022882</v>
      </c>
      <c r="D967">
        <v>69.049400685180444</v>
      </c>
      <c r="E967">
        <v>93.008608473464847</v>
      </c>
      <c r="F967">
        <v>132.42907844949514</v>
      </c>
      <c r="H967" s="33">
        <f t="shared" si="72"/>
        <v>6.7856490204576403</v>
      </c>
      <c r="I967">
        <f t="shared" si="73"/>
        <v>1.9011986296391115</v>
      </c>
      <c r="J967">
        <f t="shared" si="74"/>
        <v>60.172169469296932</v>
      </c>
      <c r="K967">
        <f t="shared" si="75"/>
        <v>48.581568989902735</v>
      </c>
      <c r="L967" s="33">
        <f t="shared" si="76"/>
        <v>117.44058610929642</v>
      </c>
    </row>
    <row r="968" spans="3:12" x14ac:dyDescent="0.3">
      <c r="C968">
        <v>77.8990490490105</v>
      </c>
      <c r="D968">
        <v>69.830163233127678</v>
      </c>
      <c r="E968">
        <v>90.25443796403124</v>
      </c>
      <c r="F968">
        <v>128.76262791076442</v>
      </c>
      <c r="H968" s="33">
        <f t="shared" si="72"/>
        <v>4.2019019019789994</v>
      </c>
      <c r="I968">
        <f t="shared" si="73"/>
        <v>0.33967353374464437</v>
      </c>
      <c r="J968">
        <f t="shared" si="74"/>
        <v>5.0887592806247994</v>
      </c>
      <c r="K968">
        <f t="shared" si="75"/>
        <v>2.4747441784711555</v>
      </c>
      <c r="L968" s="33">
        <f t="shared" si="76"/>
        <v>12.105078894819599</v>
      </c>
    </row>
    <row r="969" spans="3:12" x14ac:dyDescent="0.3">
      <c r="C969">
        <v>79.21519702184014</v>
      </c>
      <c r="D969">
        <v>67.204868122935295</v>
      </c>
      <c r="E969">
        <v>90.207372750082868</v>
      </c>
      <c r="F969">
        <v>131.88938429346308</v>
      </c>
      <c r="H969" s="33">
        <f t="shared" si="72"/>
        <v>1.5696059563197196</v>
      </c>
      <c r="I969">
        <f t="shared" si="73"/>
        <v>5.5902637541294098</v>
      </c>
      <c r="J969">
        <f t="shared" si="74"/>
        <v>4.147455001657363</v>
      </c>
      <c r="K969">
        <f t="shared" si="75"/>
        <v>37.787685869261622</v>
      </c>
      <c r="L969" s="33">
        <f t="shared" si="76"/>
        <v>49.095010581368115</v>
      </c>
    </row>
    <row r="970" spans="3:12" x14ac:dyDescent="0.3">
      <c r="C970">
        <v>80.793365870777052</v>
      </c>
      <c r="D970">
        <v>69.957109366732766</v>
      </c>
      <c r="E970">
        <v>91.200705810333602</v>
      </c>
      <c r="F970">
        <v>129.62533138386789</v>
      </c>
      <c r="H970" s="33">
        <f t="shared" si="72"/>
        <v>15.867317415541038</v>
      </c>
      <c r="I970">
        <f t="shared" si="73"/>
        <v>8.5781266534468159E-2</v>
      </c>
      <c r="J970">
        <f t="shared" si="74"/>
        <v>24.014116206672043</v>
      </c>
      <c r="K970">
        <f t="shared" si="75"/>
        <v>0.74933723226422444</v>
      </c>
      <c r="L970" s="33">
        <f t="shared" si="76"/>
        <v>40.716552121011773</v>
      </c>
    </row>
    <row r="971" spans="3:12" x14ac:dyDescent="0.3">
      <c r="C971">
        <v>79.752747044112766</v>
      </c>
      <c r="D971">
        <v>69.175006450968795</v>
      </c>
      <c r="E971">
        <v>91.313630946242483</v>
      </c>
      <c r="F971">
        <v>132.46098352363333</v>
      </c>
      <c r="H971" s="33">
        <f t="shared" si="72"/>
        <v>0.49450591177446768</v>
      </c>
      <c r="I971">
        <f t="shared" si="73"/>
        <v>1.649987098062411</v>
      </c>
      <c r="J971">
        <f t="shared" si="74"/>
        <v>26.272618924849667</v>
      </c>
      <c r="K971">
        <f t="shared" si="75"/>
        <v>49.219670472666621</v>
      </c>
      <c r="L971" s="33">
        <f t="shared" si="76"/>
        <v>77.636782407353166</v>
      </c>
    </row>
    <row r="972" spans="3:12" x14ac:dyDescent="0.3">
      <c r="C972">
        <v>80.281875145446975</v>
      </c>
      <c r="D972">
        <v>71.034347860695561</v>
      </c>
      <c r="E972">
        <v>90.091735046225949</v>
      </c>
      <c r="F972">
        <v>128.71884938329458</v>
      </c>
      <c r="H972" s="33">
        <f t="shared" si="72"/>
        <v>5.6375029089394957</v>
      </c>
      <c r="I972">
        <f t="shared" si="73"/>
        <v>20.686957213911228</v>
      </c>
      <c r="J972">
        <f t="shared" si="74"/>
        <v>1.8347009245189838</v>
      </c>
      <c r="K972">
        <f t="shared" si="75"/>
        <v>2.5623012334108353</v>
      </c>
      <c r="L972" s="33">
        <f t="shared" si="76"/>
        <v>30.721462280780543</v>
      </c>
    </row>
    <row r="973" spans="3:12" x14ac:dyDescent="0.3">
      <c r="C973">
        <v>79.193678377196193</v>
      </c>
      <c r="D973">
        <v>68.655848685302772</v>
      </c>
      <c r="E973">
        <v>90.322555706588901</v>
      </c>
      <c r="F973">
        <v>128.11740963195916</v>
      </c>
      <c r="H973" s="33">
        <f t="shared" si="72"/>
        <v>1.6126432456076145</v>
      </c>
      <c r="I973">
        <f t="shared" si="73"/>
        <v>2.6883026293944567</v>
      </c>
      <c r="J973">
        <f t="shared" si="74"/>
        <v>6.451114131778013</v>
      </c>
      <c r="K973">
        <f t="shared" si="75"/>
        <v>3.7651807360816747</v>
      </c>
      <c r="L973" s="33">
        <f t="shared" si="76"/>
        <v>14.517240742861759</v>
      </c>
    </row>
    <row r="974" spans="3:12" x14ac:dyDescent="0.3">
      <c r="C974">
        <v>78.356815922306851</v>
      </c>
      <c r="D974">
        <v>70.07914422894828</v>
      </c>
      <c r="E974">
        <v>90.604534307058202</v>
      </c>
      <c r="F974">
        <v>127.87039996590465</v>
      </c>
      <c r="H974" s="33">
        <f t="shared" si="72"/>
        <v>3.2863681553862989</v>
      </c>
      <c r="I974">
        <f t="shared" si="73"/>
        <v>1.5828845789656043</v>
      </c>
      <c r="J974">
        <f t="shared" si="74"/>
        <v>12.090686141164042</v>
      </c>
      <c r="K974">
        <f t="shared" si="75"/>
        <v>4.2592000681906939</v>
      </c>
      <c r="L974" s="33">
        <f t="shared" si="76"/>
        <v>21.219138943706639</v>
      </c>
    </row>
    <row r="975" spans="3:12" x14ac:dyDescent="0.3">
      <c r="C975">
        <v>79.090775872900849</v>
      </c>
      <c r="D975">
        <v>69.023480086179916</v>
      </c>
      <c r="E975">
        <v>91.052410425472772</v>
      </c>
      <c r="F975">
        <v>130.36263145375415</v>
      </c>
      <c r="H975" s="33">
        <f t="shared" si="72"/>
        <v>1.8184482541983016</v>
      </c>
      <c r="I975">
        <f t="shared" si="73"/>
        <v>1.9530398276401684</v>
      </c>
      <c r="J975">
        <f t="shared" si="74"/>
        <v>21.048208509455435</v>
      </c>
      <c r="K975">
        <f t="shared" si="75"/>
        <v>7.2526290750829503</v>
      </c>
      <c r="L975" s="33">
        <f t="shared" si="76"/>
        <v>32.072325666376855</v>
      </c>
    </row>
    <row r="976" spans="3:12" x14ac:dyDescent="0.3">
      <c r="C976">
        <v>80.357326825906057</v>
      </c>
      <c r="D976">
        <v>70.135858044814086</v>
      </c>
      <c r="E976">
        <v>88.497860360657796</v>
      </c>
      <c r="F976">
        <v>130.74069816946576</v>
      </c>
      <c r="H976" s="33">
        <f t="shared" si="72"/>
        <v>7.1465365181211382</v>
      </c>
      <c r="I976">
        <f t="shared" si="73"/>
        <v>2.7171608962817118</v>
      </c>
      <c r="J976">
        <f t="shared" si="74"/>
        <v>3.0042792786844075</v>
      </c>
      <c r="K976">
        <f t="shared" si="75"/>
        <v>14.813963389315177</v>
      </c>
      <c r="L976" s="33">
        <f t="shared" si="76"/>
        <v>27.681940082402434</v>
      </c>
    </row>
    <row r="977" spans="3:12" x14ac:dyDescent="0.3">
      <c r="C977">
        <v>80.788240868132561</v>
      </c>
      <c r="D977">
        <v>70.059665126173059</v>
      </c>
      <c r="E977">
        <v>90.04059302227688</v>
      </c>
      <c r="F977">
        <v>130.23874463295215</v>
      </c>
      <c r="H977" s="33">
        <f t="shared" si="72"/>
        <v>15.764817362651229</v>
      </c>
      <c r="I977">
        <f t="shared" si="73"/>
        <v>1.1933025234611705</v>
      </c>
      <c r="J977">
        <f t="shared" si="74"/>
        <v>0.81186044553760439</v>
      </c>
      <c r="K977">
        <f t="shared" si="75"/>
        <v>4.7748926590429619</v>
      </c>
      <c r="L977" s="33">
        <f t="shared" si="76"/>
        <v>22.544872990692966</v>
      </c>
    </row>
    <row r="978" spans="3:12" x14ac:dyDescent="0.3">
      <c r="C978">
        <v>78.489533936663065</v>
      </c>
      <c r="D978">
        <v>70.490991851620493</v>
      </c>
      <c r="E978">
        <v>90.871584688866278</v>
      </c>
      <c r="F978">
        <v>129.54366899146407</v>
      </c>
      <c r="H978" s="33">
        <f t="shared" si="72"/>
        <v>3.0209321266738698</v>
      </c>
      <c r="I978">
        <f t="shared" si="73"/>
        <v>9.8198370324098505</v>
      </c>
      <c r="J978">
        <f t="shared" si="74"/>
        <v>17.431693777325563</v>
      </c>
      <c r="K978">
        <f t="shared" si="75"/>
        <v>0.91266201707185246</v>
      </c>
      <c r="L978" s="33">
        <f t="shared" si="76"/>
        <v>31.185124953481136</v>
      </c>
    </row>
    <row r="979" spans="3:12" x14ac:dyDescent="0.3">
      <c r="C979">
        <v>80.692825778969564</v>
      </c>
      <c r="D979">
        <v>67.377490217331797</v>
      </c>
      <c r="E979">
        <v>90.812904090707889</v>
      </c>
      <c r="F979">
        <v>130.07776179700159</v>
      </c>
      <c r="H979" s="33">
        <f t="shared" si="72"/>
        <v>13.856515579391271</v>
      </c>
      <c r="I979">
        <f t="shared" si="73"/>
        <v>5.2450195653364062</v>
      </c>
      <c r="J979">
        <f t="shared" si="74"/>
        <v>16.258081814157777</v>
      </c>
      <c r="K979">
        <f t="shared" si="75"/>
        <v>1.5552359400317073</v>
      </c>
      <c r="L979" s="33">
        <f t="shared" si="76"/>
        <v>36.914852898917161</v>
      </c>
    </row>
    <row r="980" spans="3:12" x14ac:dyDescent="0.3">
      <c r="C980">
        <v>80.109573647932848</v>
      </c>
      <c r="D980">
        <v>68.190123733365908</v>
      </c>
      <c r="E980">
        <v>89.781437054480193</v>
      </c>
      <c r="F980">
        <v>129.23973518889397</v>
      </c>
      <c r="H980" s="33">
        <f t="shared" si="72"/>
        <v>2.1914729586569592</v>
      </c>
      <c r="I980">
        <f t="shared" si="73"/>
        <v>3.6197525332681835</v>
      </c>
      <c r="J980">
        <f t="shared" si="74"/>
        <v>0.43712589103961363</v>
      </c>
      <c r="K980">
        <f t="shared" si="75"/>
        <v>1.5205296222120523</v>
      </c>
      <c r="L980" s="33">
        <f t="shared" si="76"/>
        <v>7.7688810051768087</v>
      </c>
    </row>
    <row r="981" spans="3:12" x14ac:dyDescent="0.3">
      <c r="C981">
        <v>80.625236680207308</v>
      </c>
      <c r="D981">
        <v>69.424237557832384</v>
      </c>
      <c r="E981">
        <v>91.153598532255273</v>
      </c>
      <c r="F981">
        <v>129.164208475122</v>
      </c>
      <c r="H981" s="33">
        <f t="shared" si="72"/>
        <v>12.504733604146168</v>
      </c>
      <c r="I981">
        <f t="shared" si="73"/>
        <v>1.151524884335231</v>
      </c>
      <c r="J981">
        <f t="shared" si="74"/>
        <v>23.071970645105466</v>
      </c>
      <c r="K981">
        <f t="shared" si="75"/>
        <v>1.6715830497560091</v>
      </c>
      <c r="L981" s="33">
        <f t="shared" si="76"/>
        <v>38.399812183342874</v>
      </c>
    </row>
    <row r="982" spans="3:12" x14ac:dyDescent="0.3">
      <c r="C982">
        <v>80.278137122222688</v>
      </c>
      <c r="D982">
        <v>69.126400780369295</v>
      </c>
      <c r="E982">
        <v>91.14840531750815</v>
      </c>
      <c r="F982">
        <v>130.287532202492</v>
      </c>
      <c r="H982" s="33">
        <f t="shared" si="72"/>
        <v>5.562742444453761</v>
      </c>
      <c r="I982">
        <f t="shared" si="73"/>
        <v>1.7471984392614104</v>
      </c>
      <c r="J982">
        <f t="shared" si="74"/>
        <v>22.968106350162998</v>
      </c>
      <c r="K982">
        <f t="shared" si="75"/>
        <v>5.750644049840048</v>
      </c>
      <c r="L982" s="33">
        <f t="shared" si="76"/>
        <v>36.028691283718217</v>
      </c>
    </row>
    <row r="983" spans="3:12" x14ac:dyDescent="0.3">
      <c r="C983">
        <v>80.900813574844506</v>
      </c>
      <c r="D983">
        <v>67.432860254775733</v>
      </c>
      <c r="E983">
        <v>88.833054632996209</v>
      </c>
      <c r="F983">
        <v>129.48067511468253</v>
      </c>
      <c r="H983" s="33">
        <f t="shared" ref="H983:H1021" si="77">IF(C983&gt;$C$19,(C983-$C$19)*$I$11,($C$19-C983)*$H$11)</f>
        <v>18.016271496890113</v>
      </c>
      <c r="I983">
        <f t="shared" ref="I983:I1021" si="78">IF(D983&gt;$D$19,(D983-$D$19)*$I$11,($D$19-D983)*$H$11)</f>
        <v>5.1342794904485345</v>
      </c>
      <c r="J983">
        <f t="shared" ref="J983:J1021" si="79">IF(E983&gt;$E$19,(E983-$E$19)*$I$11,($E$19-E983)*$H$11)</f>
        <v>2.3338907340075821</v>
      </c>
      <c r="K983">
        <f t="shared" ref="K983:K1021" si="80">IF(F983&gt;$F$19,(F983-$F$19)*$I$11,($F$19-F983)*$H$11)</f>
        <v>1.0386497706349473</v>
      </c>
      <c r="L983" s="33">
        <f t="shared" ref="L983:L1021" si="81">SUM(H983:K983)</f>
        <v>26.523091491981177</v>
      </c>
    </row>
    <row r="984" spans="3:12" x14ac:dyDescent="0.3">
      <c r="C984">
        <v>80.46007016862859</v>
      </c>
      <c r="D984">
        <v>71.843131940404419</v>
      </c>
      <c r="E984">
        <v>91.637308741919696</v>
      </c>
      <c r="F984">
        <v>128.62834556552116</v>
      </c>
      <c r="H984" s="33">
        <f t="shared" si="77"/>
        <v>9.2014033725718036</v>
      </c>
      <c r="I984">
        <f t="shared" si="78"/>
        <v>36.862638808088377</v>
      </c>
      <c r="J984">
        <f t="shared" si="79"/>
        <v>32.746174838393927</v>
      </c>
      <c r="K984">
        <f t="shared" si="80"/>
        <v>2.7433088689576834</v>
      </c>
      <c r="L984" s="33">
        <f t="shared" si="81"/>
        <v>81.553525888011791</v>
      </c>
    </row>
    <row r="985" spans="3:12" x14ac:dyDescent="0.3">
      <c r="C985">
        <v>79.198012119450141</v>
      </c>
      <c r="D985">
        <v>69.457245394296478</v>
      </c>
      <c r="E985">
        <v>89.640062924299855</v>
      </c>
      <c r="F985">
        <v>130.96050371212186</v>
      </c>
      <c r="H985" s="33">
        <f t="shared" si="77"/>
        <v>1.6039757610997185</v>
      </c>
      <c r="I985">
        <f t="shared" si="78"/>
        <v>1.085509211407043</v>
      </c>
      <c r="J985">
        <f t="shared" si="79"/>
        <v>0.71987415140029043</v>
      </c>
      <c r="K985">
        <f t="shared" si="80"/>
        <v>19.210074242437258</v>
      </c>
      <c r="L985" s="33">
        <f t="shared" si="81"/>
        <v>22.61943336634431</v>
      </c>
    </row>
    <row r="986" spans="3:12" x14ac:dyDescent="0.3">
      <c r="C986">
        <v>78.573807715729345</v>
      </c>
      <c r="D986">
        <v>71.28306510305265</v>
      </c>
      <c r="E986">
        <v>88.97371708357241</v>
      </c>
      <c r="F986">
        <v>131.12880570668494</v>
      </c>
      <c r="H986" s="33">
        <f t="shared" si="77"/>
        <v>2.8523845685413107</v>
      </c>
      <c r="I986">
        <f t="shared" si="78"/>
        <v>25.661302061052993</v>
      </c>
      <c r="J986">
        <f t="shared" si="79"/>
        <v>2.0525658328551799</v>
      </c>
      <c r="K986">
        <f t="shared" si="80"/>
        <v>22.576114133698866</v>
      </c>
      <c r="L986" s="33">
        <f t="shared" si="81"/>
        <v>53.142366596148349</v>
      </c>
    </row>
    <row r="987" spans="3:12" x14ac:dyDescent="0.3">
      <c r="C987">
        <v>78.811163095524535</v>
      </c>
      <c r="D987">
        <v>68.97021325523383</v>
      </c>
      <c r="E987">
        <v>88.68781742407009</v>
      </c>
      <c r="F987">
        <v>130.56846374718589</v>
      </c>
      <c r="H987" s="33">
        <f t="shared" si="77"/>
        <v>2.3776738089509308</v>
      </c>
      <c r="I987">
        <f t="shared" si="78"/>
        <v>2.0595734895323403</v>
      </c>
      <c r="J987">
        <f t="shared" si="79"/>
        <v>2.6243651518598199</v>
      </c>
      <c r="K987">
        <f t="shared" si="80"/>
        <v>11.369274943717755</v>
      </c>
      <c r="L987" s="33">
        <f t="shared" si="81"/>
        <v>18.430887394060846</v>
      </c>
    </row>
    <row r="988" spans="3:12" x14ac:dyDescent="0.3">
      <c r="C988">
        <v>79.906881384958979</v>
      </c>
      <c r="D988">
        <v>69.162905623961706</v>
      </c>
      <c r="E988">
        <v>90.326506324199727</v>
      </c>
      <c r="F988">
        <v>129.76723302097525</v>
      </c>
      <c r="H988" s="33">
        <f t="shared" si="77"/>
        <v>0.18623723008204252</v>
      </c>
      <c r="I988">
        <f t="shared" si="78"/>
        <v>1.6741887520765886</v>
      </c>
      <c r="J988">
        <f t="shared" si="79"/>
        <v>6.5301264839945361</v>
      </c>
      <c r="K988">
        <f t="shared" si="80"/>
        <v>0.46553395804949105</v>
      </c>
      <c r="L988" s="33">
        <f t="shared" si="81"/>
        <v>8.8560864242026582</v>
      </c>
    </row>
    <row r="989" spans="3:12" x14ac:dyDescent="0.3">
      <c r="C989">
        <v>79.722579104854958</v>
      </c>
      <c r="D989">
        <v>68.657922333222814</v>
      </c>
      <c r="E989">
        <v>89.940487214189488</v>
      </c>
      <c r="F989">
        <v>130.90253706730437</v>
      </c>
      <c r="H989" s="33">
        <f t="shared" si="77"/>
        <v>0.55484179029008374</v>
      </c>
      <c r="I989">
        <f t="shared" si="78"/>
        <v>2.6841553335543722</v>
      </c>
      <c r="J989">
        <f t="shared" si="79"/>
        <v>0.11902557162102312</v>
      </c>
      <c r="K989">
        <f t="shared" si="80"/>
        <v>18.050741346087307</v>
      </c>
      <c r="L989" s="33">
        <f t="shared" si="81"/>
        <v>21.408764041552786</v>
      </c>
    </row>
    <row r="990" spans="3:12" x14ac:dyDescent="0.3">
      <c r="C990">
        <v>78.819189386267681</v>
      </c>
      <c r="D990">
        <v>69.91256572684506</v>
      </c>
      <c r="E990">
        <v>90.002256683728774</v>
      </c>
      <c r="F990">
        <v>128.85822489886777</v>
      </c>
      <c r="H990" s="33">
        <f t="shared" si="77"/>
        <v>2.3616212274646387</v>
      </c>
      <c r="I990">
        <f t="shared" si="78"/>
        <v>0.17486854630988091</v>
      </c>
      <c r="J990">
        <f t="shared" si="79"/>
        <v>4.5133674575481564E-2</v>
      </c>
      <c r="K990">
        <f t="shared" si="80"/>
        <v>2.2835502022644505</v>
      </c>
      <c r="L990" s="33">
        <f t="shared" si="81"/>
        <v>4.8651736506144516</v>
      </c>
    </row>
    <row r="991" spans="3:12" x14ac:dyDescent="0.3">
      <c r="C991">
        <v>80.474574335385114</v>
      </c>
      <c r="D991">
        <v>69.340820977522526</v>
      </c>
      <c r="E991">
        <v>89.943935335977585</v>
      </c>
      <c r="F991">
        <v>128.69268776819808</v>
      </c>
      <c r="H991" s="33">
        <f t="shared" si="77"/>
        <v>9.4914867077022791</v>
      </c>
      <c r="I991">
        <f t="shared" si="78"/>
        <v>1.3183580449549481</v>
      </c>
      <c r="J991">
        <f t="shared" si="79"/>
        <v>0.11212932804482989</v>
      </c>
      <c r="K991">
        <f t="shared" si="80"/>
        <v>2.6146244636038318</v>
      </c>
      <c r="L991" s="33">
        <f t="shared" si="81"/>
        <v>13.536598544305889</v>
      </c>
    </row>
    <row r="992" spans="3:12" x14ac:dyDescent="0.3">
      <c r="C992">
        <v>79.745405148132704</v>
      </c>
      <c r="D992">
        <v>70.056218141253339</v>
      </c>
      <c r="E992">
        <v>90.299112343782326</v>
      </c>
      <c r="F992">
        <v>129.92277480487246</v>
      </c>
      <c r="H992" s="33">
        <f t="shared" si="77"/>
        <v>0.5091897037345916</v>
      </c>
      <c r="I992">
        <f t="shared" si="78"/>
        <v>1.1243628250667825</v>
      </c>
      <c r="J992">
        <f t="shared" si="79"/>
        <v>5.9822468756465241</v>
      </c>
      <c r="K992">
        <f t="shared" si="80"/>
        <v>0.15445039025507867</v>
      </c>
      <c r="L992" s="33">
        <f t="shared" si="81"/>
        <v>7.7702497947029769</v>
      </c>
    </row>
    <row r="993" spans="3:12" x14ac:dyDescent="0.3">
      <c r="C993">
        <v>80.174106844497146</v>
      </c>
      <c r="D993">
        <v>68.992575456213672</v>
      </c>
      <c r="E993">
        <v>90.918867044674698</v>
      </c>
      <c r="F993">
        <v>128.55407168070087</v>
      </c>
      <c r="H993" s="33">
        <f t="shared" si="77"/>
        <v>3.4821368899429217</v>
      </c>
      <c r="I993">
        <f t="shared" si="78"/>
        <v>2.0148490875726566</v>
      </c>
      <c r="J993">
        <f t="shared" si="79"/>
        <v>18.377340893493965</v>
      </c>
      <c r="K993">
        <f t="shared" si="80"/>
        <v>2.8918566385982558</v>
      </c>
      <c r="L993" s="33">
        <f t="shared" si="81"/>
        <v>26.766183509607799</v>
      </c>
    </row>
    <row r="994" spans="3:12" x14ac:dyDescent="0.3">
      <c r="C994">
        <v>81.808698470995296</v>
      </c>
      <c r="D994">
        <v>69.749275048088748</v>
      </c>
      <c r="E994">
        <v>89.591134383081226</v>
      </c>
      <c r="F994">
        <v>131.19553078548051</v>
      </c>
      <c r="H994" s="33">
        <f t="shared" si="77"/>
        <v>36.173969419905916</v>
      </c>
      <c r="I994">
        <f t="shared" si="78"/>
        <v>0.50144990382250398</v>
      </c>
      <c r="J994">
        <f t="shared" si="79"/>
        <v>0.81773123383754864</v>
      </c>
      <c r="K994">
        <f t="shared" si="80"/>
        <v>23.910615709610283</v>
      </c>
      <c r="L994" s="33">
        <f t="shared" si="81"/>
        <v>61.403766267176252</v>
      </c>
    </row>
    <row r="995" spans="3:12" x14ac:dyDescent="0.3">
      <c r="C995">
        <v>81.807129592634737</v>
      </c>
      <c r="D995">
        <v>69.615877186442958</v>
      </c>
      <c r="E995">
        <v>91.227726897923276</v>
      </c>
      <c r="F995">
        <v>130.45022716221865</v>
      </c>
      <c r="H995" s="33">
        <f t="shared" si="77"/>
        <v>36.14259185269475</v>
      </c>
      <c r="I995">
        <f t="shared" si="78"/>
        <v>0.76824562711408362</v>
      </c>
      <c r="J995">
        <f t="shared" si="79"/>
        <v>24.554537958465517</v>
      </c>
      <c r="K995">
        <f t="shared" si="80"/>
        <v>9.0045432443730533</v>
      </c>
      <c r="L995" s="33">
        <f t="shared" si="81"/>
        <v>70.469918682647403</v>
      </c>
    </row>
    <row r="996" spans="3:12" x14ac:dyDescent="0.3">
      <c r="C996">
        <v>79.176402525336016</v>
      </c>
      <c r="D996">
        <v>70.209796553463093</v>
      </c>
      <c r="E996">
        <v>91.333096406597178</v>
      </c>
      <c r="F996">
        <v>131.10962901089806</v>
      </c>
      <c r="H996" s="33">
        <f t="shared" si="77"/>
        <v>1.6471949493279681</v>
      </c>
      <c r="I996">
        <f t="shared" si="78"/>
        <v>4.1959310692618601</v>
      </c>
      <c r="J996">
        <f t="shared" si="79"/>
        <v>26.661928131943569</v>
      </c>
      <c r="K996">
        <f t="shared" si="80"/>
        <v>22.192580217961222</v>
      </c>
      <c r="L996" s="33">
        <f t="shared" si="81"/>
        <v>54.697634368494619</v>
      </c>
    </row>
    <row r="997" spans="3:12" x14ac:dyDescent="0.3">
      <c r="C997">
        <v>81.091545982490061</v>
      </c>
      <c r="D997">
        <v>70.715667738404591</v>
      </c>
      <c r="E997">
        <v>89.67018311508582</v>
      </c>
      <c r="F997">
        <v>129.8557996150339</v>
      </c>
      <c r="H997" s="33">
        <f t="shared" si="77"/>
        <v>21.830919649801217</v>
      </c>
      <c r="I997">
        <f t="shared" si="78"/>
        <v>14.313354768091813</v>
      </c>
      <c r="J997">
        <f t="shared" si="79"/>
        <v>0.65963376982836053</v>
      </c>
      <c r="K997">
        <f t="shared" si="80"/>
        <v>0.28840076993219554</v>
      </c>
      <c r="L997" s="33">
        <f t="shared" si="81"/>
        <v>37.092308957653586</v>
      </c>
    </row>
    <row r="998" spans="3:12" x14ac:dyDescent="0.3">
      <c r="C998">
        <v>81.710895958240144</v>
      </c>
      <c r="D998">
        <v>70.60848833527416</v>
      </c>
      <c r="E998">
        <v>89.726393298260518</v>
      </c>
      <c r="F998">
        <v>129.2696280060045</v>
      </c>
      <c r="H998" s="33">
        <f t="shared" si="77"/>
        <v>34.217919164802879</v>
      </c>
      <c r="I998">
        <f t="shared" si="78"/>
        <v>12.169766705483198</v>
      </c>
      <c r="J998">
        <f t="shared" si="79"/>
        <v>0.5472134034789633</v>
      </c>
      <c r="K998">
        <f t="shared" si="80"/>
        <v>1.4607439879910089</v>
      </c>
      <c r="L998" s="33">
        <f t="shared" si="81"/>
        <v>48.395643261756049</v>
      </c>
    </row>
    <row r="999" spans="3:12" x14ac:dyDescent="0.3">
      <c r="C999">
        <v>79.663471044186736</v>
      </c>
      <c r="D999">
        <v>69.751247514723218</v>
      </c>
      <c r="E999">
        <v>90.594736775383353</v>
      </c>
      <c r="F999">
        <v>131.08449512481457</v>
      </c>
      <c r="H999" s="33">
        <f t="shared" si="77"/>
        <v>0.67305791162652895</v>
      </c>
      <c r="I999">
        <f t="shared" si="78"/>
        <v>0.49750497055356391</v>
      </c>
      <c r="J999">
        <f t="shared" si="79"/>
        <v>11.894735507667065</v>
      </c>
      <c r="K999">
        <f t="shared" si="80"/>
        <v>21.689902496291324</v>
      </c>
      <c r="L999" s="33">
        <f t="shared" si="81"/>
        <v>34.755200886138482</v>
      </c>
    </row>
    <row r="1000" spans="3:12" x14ac:dyDescent="0.3">
      <c r="C1000">
        <v>81.152409367932705</v>
      </c>
      <c r="D1000">
        <v>71.372241058561485</v>
      </c>
      <c r="E1000">
        <v>89.101594312378438</v>
      </c>
      <c r="F1000">
        <v>130.91200490714982</v>
      </c>
      <c r="H1000" s="33">
        <f t="shared" si="77"/>
        <v>23.048187358654104</v>
      </c>
      <c r="I1000">
        <f t="shared" si="78"/>
        <v>27.444821171229705</v>
      </c>
      <c r="J1000">
        <f t="shared" si="79"/>
        <v>1.7968113752431236</v>
      </c>
      <c r="K1000">
        <f t="shared" si="80"/>
        <v>18.24009814299643</v>
      </c>
      <c r="L1000" s="33">
        <f t="shared" si="81"/>
        <v>70.529918048123363</v>
      </c>
    </row>
    <row r="1001" spans="3:12" x14ac:dyDescent="0.3">
      <c r="C1001">
        <v>78.984535523049999</v>
      </c>
      <c r="D1001">
        <v>70.114962404040853</v>
      </c>
      <c r="E1001">
        <v>87.267586877569556</v>
      </c>
      <c r="F1001">
        <v>129.7540078311431</v>
      </c>
      <c r="H1001" s="33">
        <f t="shared" si="77"/>
        <v>2.0309289539000019</v>
      </c>
      <c r="I1001">
        <f t="shared" si="78"/>
        <v>2.2992480808170512</v>
      </c>
      <c r="J1001">
        <f t="shared" si="79"/>
        <v>5.4648262448608875</v>
      </c>
      <c r="K1001">
        <f t="shared" si="80"/>
        <v>0.49198433771380223</v>
      </c>
      <c r="L1001" s="33">
        <f t="shared" si="81"/>
        <v>10.286987617291743</v>
      </c>
    </row>
    <row r="1002" spans="3:12" x14ac:dyDescent="0.3">
      <c r="C1002">
        <v>79.551126848018612</v>
      </c>
      <c r="D1002">
        <v>69.574442881566938</v>
      </c>
      <c r="E1002">
        <v>90.65225435719185</v>
      </c>
      <c r="F1002">
        <v>130.89053173724096</v>
      </c>
      <c r="H1002" s="33">
        <f t="shared" si="77"/>
        <v>0.89774630396277644</v>
      </c>
      <c r="I1002">
        <f t="shared" si="78"/>
        <v>0.85111423686612397</v>
      </c>
      <c r="J1002">
        <f t="shared" si="79"/>
        <v>13.045087143837009</v>
      </c>
      <c r="K1002">
        <f t="shared" si="80"/>
        <v>17.810634744819254</v>
      </c>
      <c r="L1002" s="33">
        <f t="shared" si="81"/>
        <v>32.604582429485163</v>
      </c>
    </row>
    <row r="1003" spans="3:12" x14ac:dyDescent="0.3">
      <c r="C1003">
        <v>78.24086444277782</v>
      </c>
      <c r="D1003">
        <v>71.006410457193851</v>
      </c>
      <c r="E1003">
        <v>88.329349182313308</v>
      </c>
      <c r="F1003">
        <v>132.21805748878978</v>
      </c>
      <c r="H1003" s="33">
        <f t="shared" si="77"/>
        <v>3.5182711144443601</v>
      </c>
      <c r="I1003">
        <f t="shared" si="78"/>
        <v>20.128209143877029</v>
      </c>
      <c r="J1003">
        <f t="shared" si="79"/>
        <v>3.3413016353733838</v>
      </c>
      <c r="K1003">
        <f t="shared" si="80"/>
        <v>44.361149775795639</v>
      </c>
      <c r="L1003" s="33">
        <f t="shared" si="81"/>
        <v>71.348931669490412</v>
      </c>
    </row>
    <row r="1004" spans="3:12" x14ac:dyDescent="0.3">
      <c r="C1004">
        <v>81.555804374220315</v>
      </c>
      <c r="D1004">
        <v>69.817732714291196</v>
      </c>
      <c r="E1004">
        <v>90.613929387327516</v>
      </c>
      <c r="F1004">
        <v>128.60504431126174</v>
      </c>
      <c r="H1004" s="33">
        <f t="shared" si="77"/>
        <v>31.116087484406307</v>
      </c>
      <c r="I1004">
        <f t="shared" si="78"/>
        <v>0.36453457141760737</v>
      </c>
      <c r="J1004">
        <f t="shared" si="79"/>
        <v>12.278587746550329</v>
      </c>
      <c r="K1004">
        <f t="shared" si="80"/>
        <v>2.7899113774765283</v>
      </c>
      <c r="L1004" s="33">
        <f t="shared" si="81"/>
        <v>46.549121179850772</v>
      </c>
    </row>
    <row r="1005" spans="3:12" x14ac:dyDescent="0.3">
      <c r="C1005">
        <v>79.889348600845551</v>
      </c>
      <c r="D1005">
        <v>70.36508481571218</v>
      </c>
      <c r="E1005">
        <v>91.223347680934239</v>
      </c>
      <c r="F1005">
        <v>131.79781181941507</v>
      </c>
      <c r="H1005" s="33">
        <f t="shared" si="77"/>
        <v>0.22130279830889776</v>
      </c>
      <c r="I1005">
        <f t="shared" si="78"/>
        <v>7.3016963142435998</v>
      </c>
      <c r="J1005">
        <f t="shared" si="79"/>
        <v>24.466953618684784</v>
      </c>
      <c r="K1005">
        <f t="shared" si="80"/>
        <v>35.956236388301477</v>
      </c>
      <c r="L1005" s="33">
        <f t="shared" si="81"/>
        <v>67.946189119538758</v>
      </c>
    </row>
    <row r="1006" spans="3:12" x14ac:dyDescent="0.3">
      <c r="C1006">
        <v>80.684583483234746</v>
      </c>
      <c r="D1006">
        <v>70.562181412533391</v>
      </c>
      <c r="E1006">
        <v>89.463968833879335</v>
      </c>
      <c r="F1006">
        <v>129.42486965665012</v>
      </c>
      <c r="H1006" s="33">
        <f t="shared" si="77"/>
        <v>13.691669664694928</v>
      </c>
      <c r="I1006">
        <f t="shared" si="78"/>
        <v>11.243628250667825</v>
      </c>
      <c r="J1006">
        <f t="shared" si="79"/>
        <v>1.0720623322413303</v>
      </c>
      <c r="K1006">
        <f t="shared" si="80"/>
        <v>1.1502606866997667</v>
      </c>
      <c r="L1006" s="33">
        <f t="shared" si="81"/>
        <v>27.15762093430385</v>
      </c>
    </row>
    <row r="1007" spans="3:12" x14ac:dyDescent="0.3">
      <c r="C1007">
        <v>79.555859631072963</v>
      </c>
      <c r="D1007">
        <v>72.299348125234246</v>
      </c>
      <c r="E1007">
        <v>89.754796817796887</v>
      </c>
      <c r="F1007">
        <v>130.0758450369176</v>
      </c>
      <c r="H1007" s="33">
        <f t="shared" si="77"/>
        <v>0.88828073785407469</v>
      </c>
      <c r="I1007">
        <f t="shared" si="78"/>
        <v>45.986962504684925</v>
      </c>
      <c r="J1007">
        <f t="shared" si="79"/>
        <v>0.4904063644062262</v>
      </c>
      <c r="K1007">
        <f t="shared" si="80"/>
        <v>1.5169007383519784</v>
      </c>
      <c r="L1007" s="33">
        <f t="shared" si="81"/>
        <v>48.882550345297204</v>
      </c>
    </row>
    <row r="1008" spans="3:12" x14ac:dyDescent="0.3">
      <c r="C1008">
        <v>80.515913143317448</v>
      </c>
      <c r="D1008">
        <v>69.47550350043457</v>
      </c>
      <c r="E1008">
        <v>90.431343778473092</v>
      </c>
      <c r="F1008">
        <v>129.67575149639742</v>
      </c>
      <c r="H1008" s="33">
        <f t="shared" si="77"/>
        <v>10.31826286634896</v>
      </c>
      <c r="I1008">
        <f t="shared" si="78"/>
        <v>1.04899299913086</v>
      </c>
      <c r="J1008">
        <f t="shared" si="79"/>
        <v>8.6268755694618449</v>
      </c>
      <c r="K1008">
        <f t="shared" si="80"/>
        <v>0.64849700720515102</v>
      </c>
      <c r="L1008" s="33">
        <f t="shared" si="81"/>
        <v>20.642628442146815</v>
      </c>
    </row>
    <row r="1009" spans="3:12" x14ac:dyDescent="0.3">
      <c r="C1009">
        <v>79.536355517193442</v>
      </c>
      <c r="D1009">
        <v>70.359040086550522</v>
      </c>
      <c r="E1009">
        <v>91.419666659785435</v>
      </c>
      <c r="F1009">
        <v>132.88076989818364</v>
      </c>
      <c r="H1009" s="33">
        <f t="shared" si="77"/>
        <v>0.92728896561311558</v>
      </c>
      <c r="I1009">
        <f t="shared" si="78"/>
        <v>7.1808017310104333</v>
      </c>
      <c r="J1009">
        <f t="shared" si="79"/>
        <v>28.393333195708692</v>
      </c>
      <c r="K1009">
        <f t="shared" si="80"/>
        <v>57.615397963672876</v>
      </c>
      <c r="L1009" s="33">
        <f t="shared" si="81"/>
        <v>94.116821856005117</v>
      </c>
    </row>
    <row r="1010" spans="3:12" x14ac:dyDescent="0.3">
      <c r="C1010">
        <v>80.578472736378899</v>
      </c>
      <c r="D1010">
        <v>69.259403011819813</v>
      </c>
      <c r="E1010">
        <v>88.774869709450286</v>
      </c>
      <c r="F1010">
        <v>129.8346629581647</v>
      </c>
      <c r="H1010" s="33">
        <f t="shared" si="77"/>
        <v>11.569454727577977</v>
      </c>
      <c r="I1010">
        <f t="shared" si="78"/>
        <v>1.4811939763603732</v>
      </c>
      <c r="J1010">
        <f t="shared" si="79"/>
        <v>2.4502605810994282</v>
      </c>
      <c r="K1010">
        <f t="shared" si="80"/>
        <v>0.33067408367060125</v>
      </c>
      <c r="L1010" s="33">
        <f t="shared" si="81"/>
        <v>15.83158336870838</v>
      </c>
    </row>
    <row r="1011" spans="3:12" x14ac:dyDescent="0.3">
      <c r="C1011">
        <v>80.974059730651788</v>
      </c>
      <c r="D1011">
        <v>71.03565525932936</v>
      </c>
      <c r="E1011">
        <v>91.307132606598316</v>
      </c>
      <c r="F1011">
        <v>129.68742031342117</v>
      </c>
      <c r="H1011" s="33">
        <f t="shared" si="77"/>
        <v>19.481194613035768</v>
      </c>
      <c r="I1011">
        <f t="shared" si="78"/>
        <v>20.7131051865872</v>
      </c>
      <c r="J1011">
        <f t="shared" si="79"/>
        <v>26.142652131966315</v>
      </c>
      <c r="K1011">
        <f t="shared" si="80"/>
        <v>0.62515937315765768</v>
      </c>
      <c r="L1011" s="33">
        <f t="shared" si="81"/>
        <v>66.962111304746941</v>
      </c>
    </row>
    <row r="1012" spans="3:12" x14ac:dyDescent="0.3">
      <c r="C1012">
        <v>80.54364136303775</v>
      </c>
      <c r="D1012">
        <v>70.43933255255979</v>
      </c>
      <c r="E1012">
        <v>89.434230630868115</v>
      </c>
      <c r="F1012">
        <v>130.61725813793601</v>
      </c>
      <c r="H1012" s="33">
        <f t="shared" si="77"/>
        <v>10.872827260755002</v>
      </c>
      <c r="I1012">
        <f t="shared" si="78"/>
        <v>8.786651051195804</v>
      </c>
      <c r="J1012">
        <f t="shared" si="79"/>
        <v>1.1315387382637709</v>
      </c>
      <c r="K1012">
        <f t="shared" si="80"/>
        <v>12.345162758720107</v>
      </c>
      <c r="L1012" s="33">
        <f t="shared" si="81"/>
        <v>33.136179808934685</v>
      </c>
    </row>
    <row r="1013" spans="3:12" x14ac:dyDescent="0.3">
      <c r="C1013">
        <v>79.991088088791003</v>
      </c>
      <c r="D1013">
        <v>68.880118710076204</v>
      </c>
      <c r="E1013">
        <v>90.963175352808321</v>
      </c>
      <c r="F1013">
        <v>130.85195551946526</v>
      </c>
      <c r="H1013" s="33">
        <f t="shared" si="77"/>
        <v>1.7823822417994961E-2</v>
      </c>
      <c r="I1013">
        <f t="shared" si="78"/>
        <v>2.2397625798475929</v>
      </c>
      <c r="J1013">
        <f t="shared" si="79"/>
        <v>19.263507056166418</v>
      </c>
      <c r="K1013">
        <f t="shared" si="80"/>
        <v>17.039110389305279</v>
      </c>
      <c r="L1013" s="33">
        <f t="shared" si="81"/>
        <v>38.560203847737284</v>
      </c>
    </row>
    <row r="1014" spans="3:12" x14ac:dyDescent="0.3">
      <c r="C1014">
        <v>79.190072230703663</v>
      </c>
      <c r="D1014">
        <v>70.224050609176629</v>
      </c>
      <c r="E1014">
        <v>90.454464270660537</v>
      </c>
      <c r="F1014">
        <v>130.35227571970609</v>
      </c>
      <c r="H1014" s="33">
        <f t="shared" si="77"/>
        <v>1.6198555385926738</v>
      </c>
      <c r="I1014">
        <f t="shared" si="78"/>
        <v>4.4810121835325845</v>
      </c>
      <c r="J1014">
        <f t="shared" si="79"/>
        <v>9.0892854132107459</v>
      </c>
      <c r="K1014">
        <f t="shared" si="80"/>
        <v>7.0455143941217102</v>
      </c>
      <c r="L1014" s="33">
        <f t="shared" si="81"/>
        <v>22.235667529457714</v>
      </c>
    </row>
    <row r="1015" spans="3:12" x14ac:dyDescent="0.3">
      <c r="C1015">
        <v>79.839469637663569</v>
      </c>
      <c r="D1015">
        <v>69.66792074701516</v>
      </c>
      <c r="E1015">
        <v>90.091274614533177</v>
      </c>
      <c r="F1015">
        <v>128.89249238549382</v>
      </c>
      <c r="H1015" s="33">
        <f t="shared" si="77"/>
        <v>0.3210607246728614</v>
      </c>
      <c r="I1015">
        <f t="shared" si="78"/>
        <v>0.66415850596968085</v>
      </c>
      <c r="J1015">
        <f t="shared" si="79"/>
        <v>1.8254922906635329</v>
      </c>
      <c r="K1015">
        <f t="shared" si="80"/>
        <v>2.2150152290123515</v>
      </c>
      <c r="L1015" s="33">
        <f t="shared" si="81"/>
        <v>5.0257267503184266</v>
      </c>
    </row>
    <row r="1016" spans="3:12" x14ac:dyDescent="0.3">
      <c r="C1016">
        <v>79.552311464867671</v>
      </c>
      <c r="D1016">
        <v>68.112889443291351</v>
      </c>
      <c r="E1016">
        <v>90.740999439585721</v>
      </c>
      <c r="F1016">
        <v>130.52107679948676</v>
      </c>
      <c r="H1016" s="33">
        <f t="shared" si="77"/>
        <v>0.89537707026465796</v>
      </c>
      <c r="I1016">
        <f t="shared" si="78"/>
        <v>3.7742211134172976</v>
      </c>
      <c r="J1016">
        <f t="shared" si="79"/>
        <v>14.819988791714422</v>
      </c>
      <c r="K1016">
        <f t="shared" si="80"/>
        <v>10.421535989735276</v>
      </c>
      <c r="L1016" s="33">
        <f t="shared" si="81"/>
        <v>29.911122965131653</v>
      </c>
    </row>
    <row r="1017" spans="3:12" x14ac:dyDescent="0.3">
      <c r="C1017">
        <v>79.833654555914109</v>
      </c>
      <c r="D1017">
        <v>68.976431925257202</v>
      </c>
      <c r="E1017">
        <v>88.96943336352706</v>
      </c>
      <c r="F1017">
        <v>129.06206312516588</v>
      </c>
      <c r="H1017" s="33">
        <f t="shared" si="77"/>
        <v>0.33269088817178272</v>
      </c>
      <c r="I1017">
        <f t="shared" si="78"/>
        <v>2.0471361494855955</v>
      </c>
      <c r="J1017">
        <f t="shared" si="79"/>
        <v>2.0611332729458809</v>
      </c>
      <c r="K1017">
        <f t="shared" si="80"/>
        <v>1.8758737496682443</v>
      </c>
      <c r="L1017" s="33">
        <f t="shared" si="81"/>
        <v>6.3168340602715034</v>
      </c>
    </row>
    <row r="1018" spans="3:12" x14ac:dyDescent="0.3">
      <c r="C1018">
        <v>80.779298261477379</v>
      </c>
      <c r="D1018">
        <v>70.350160007656086</v>
      </c>
      <c r="E1018">
        <v>90.381241989089176</v>
      </c>
      <c r="F1018">
        <v>130.65746803556976</v>
      </c>
      <c r="H1018" s="33">
        <f t="shared" si="77"/>
        <v>15.585965229547583</v>
      </c>
      <c r="I1018">
        <f t="shared" si="78"/>
        <v>7.0032001531217247</v>
      </c>
      <c r="J1018">
        <f t="shared" si="79"/>
        <v>7.6248397817835212</v>
      </c>
      <c r="K1018">
        <f t="shared" si="80"/>
        <v>13.149360711395275</v>
      </c>
      <c r="L1018" s="33">
        <f t="shared" si="81"/>
        <v>43.363365875848103</v>
      </c>
    </row>
    <row r="1019" spans="3:12" x14ac:dyDescent="0.3">
      <c r="C1019">
        <v>79.195581494859653</v>
      </c>
      <c r="D1019">
        <v>70.352438291884027</v>
      </c>
      <c r="E1019">
        <v>88.515586412395351</v>
      </c>
      <c r="F1019">
        <v>128.09299879416358</v>
      </c>
      <c r="H1019" s="33">
        <f t="shared" si="77"/>
        <v>1.6088370102806948</v>
      </c>
      <c r="I1019">
        <f t="shared" si="78"/>
        <v>7.0487658376805484</v>
      </c>
      <c r="J1019">
        <f t="shared" si="79"/>
        <v>2.9688271752092987</v>
      </c>
      <c r="K1019">
        <f t="shared" si="80"/>
        <v>3.8140024116728455</v>
      </c>
      <c r="L1019" s="33">
        <f t="shared" si="81"/>
        <v>15.440432434843387</v>
      </c>
    </row>
    <row r="1020" spans="3:12" x14ac:dyDescent="0.3">
      <c r="C1020">
        <v>80.182344592758454</v>
      </c>
      <c r="D1020">
        <v>70.620500486547826</v>
      </c>
      <c r="E1020">
        <v>88.620860424125567</v>
      </c>
      <c r="F1020">
        <v>130.64498522078793</v>
      </c>
      <c r="H1020" s="33">
        <f t="shared" si="77"/>
        <v>3.6468918551690876</v>
      </c>
      <c r="I1020">
        <f t="shared" si="78"/>
        <v>12.410009730956517</v>
      </c>
      <c r="J1020">
        <f t="shared" si="79"/>
        <v>2.7582791517488658</v>
      </c>
      <c r="K1020">
        <f t="shared" si="80"/>
        <v>12.899704415758606</v>
      </c>
      <c r="L1020" s="33">
        <f t="shared" si="81"/>
        <v>31.714885153633077</v>
      </c>
    </row>
    <row r="1021" spans="3:12" x14ac:dyDescent="0.3">
      <c r="C1021">
        <v>81.025637175189331</v>
      </c>
      <c r="D1021">
        <v>69.453607415489387</v>
      </c>
      <c r="E1021">
        <v>90.457434907730203</v>
      </c>
      <c r="F1021">
        <v>130.73457272264932</v>
      </c>
      <c r="H1021" s="33">
        <f t="shared" si="77"/>
        <v>20.512743503786623</v>
      </c>
      <c r="I1021">
        <f t="shared" si="78"/>
        <v>1.0927851690212265</v>
      </c>
      <c r="J1021">
        <f t="shared" si="79"/>
        <v>9.1486981546040624</v>
      </c>
      <c r="K1021">
        <f t="shared" si="80"/>
        <v>14.691454452986363</v>
      </c>
      <c r="L1021" s="33">
        <f t="shared" si="81"/>
        <v>45.445681280398276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365E7-84B5-4901-8C72-B6DC8E0F2B87}">
  <dimension ref="A1:B15"/>
  <sheetViews>
    <sheetView workbookViewId="0"/>
  </sheetViews>
  <sheetFormatPr defaultRowHeight="14.4" x14ac:dyDescent="0.3"/>
  <sheetData>
    <row r="1" spans="1:2" x14ac:dyDescent="0.3">
      <c r="A1">
        <v>1</v>
      </c>
    </row>
    <row r="2" spans="1:2" x14ac:dyDescent="0.3">
      <c r="A2" t="s">
        <v>63</v>
      </c>
    </row>
    <row r="3" spans="1:2" x14ac:dyDescent="0.3">
      <c r="A3">
        <v>1</v>
      </c>
    </row>
    <row r="4" spans="1:2" x14ac:dyDescent="0.3">
      <c r="A4">
        <v>20</v>
      </c>
    </row>
    <row r="5" spans="1:2" x14ac:dyDescent="0.3">
      <c r="A5">
        <v>100</v>
      </c>
    </row>
    <row r="6" spans="1:2" x14ac:dyDescent="0.3">
      <c r="A6">
        <v>10</v>
      </c>
    </row>
    <row r="8" spans="1:2" x14ac:dyDescent="0.3">
      <c r="A8" s="16"/>
      <c r="B8" s="16"/>
    </row>
    <row r="9" spans="1:2" x14ac:dyDescent="0.3">
      <c r="A9" t="s">
        <v>64</v>
      </c>
    </row>
    <row r="10" spans="1:2" x14ac:dyDescent="0.3">
      <c r="A10" t="s">
        <v>65</v>
      </c>
    </row>
    <row r="15" spans="1:2" x14ac:dyDescent="0.3">
      <c r="B15" s="1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6C48E-C81B-4E1A-8BBF-A441718DBB83}">
  <dimension ref="A1:B15"/>
  <sheetViews>
    <sheetView workbookViewId="0"/>
  </sheetViews>
  <sheetFormatPr defaultRowHeight="14.4" x14ac:dyDescent="0.3"/>
  <sheetData>
    <row r="1" spans="1:2" x14ac:dyDescent="0.3">
      <c r="A1">
        <v>1</v>
      </c>
    </row>
    <row r="2" spans="1:2" x14ac:dyDescent="0.3">
      <c r="A2" t="s">
        <v>20</v>
      </c>
    </row>
    <row r="3" spans="1:2" x14ac:dyDescent="0.3">
      <c r="A3">
        <v>1</v>
      </c>
    </row>
    <row r="4" spans="1:2" x14ac:dyDescent="0.3">
      <c r="A4">
        <v>20</v>
      </c>
    </row>
    <row r="5" spans="1:2" x14ac:dyDescent="0.3">
      <c r="A5">
        <v>100</v>
      </c>
    </row>
    <row r="6" spans="1:2" x14ac:dyDescent="0.3">
      <c r="A6">
        <v>10</v>
      </c>
    </row>
    <row r="8" spans="1:2" x14ac:dyDescent="0.3">
      <c r="A8" s="16"/>
      <c r="B8" s="16"/>
    </row>
    <row r="9" spans="1:2" x14ac:dyDescent="0.3">
      <c r="A9" t="s">
        <v>21</v>
      </c>
    </row>
    <row r="10" spans="1:2" x14ac:dyDescent="0.3">
      <c r="A10" t="s">
        <v>22</v>
      </c>
    </row>
    <row r="15" spans="1:2" x14ac:dyDescent="0.3">
      <c r="B15"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Q1</vt:lpstr>
      <vt:lpstr>Regression Q1</vt:lpstr>
      <vt:lpstr>Regression Q1 A</vt:lpstr>
      <vt:lpstr>Q2A</vt:lpstr>
      <vt:lpstr>Q2</vt:lpstr>
      <vt:lpstr>Q3</vt:lpstr>
      <vt:lpstr>Q2A!ChartData</vt:lpstr>
      <vt:lpstr>Q2A!InputValues</vt:lpstr>
      <vt:lpstr>Q2A!OutputAddresses</vt:lpstr>
      <vt:lpstr>Q2A!OutputValues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 AbbasiPooya</dc:creator>
  <cp:lastModifiedBy>RaviShan.Mishra</cp:lastModifiedBy>
  <dcterms:created xsi:type="dcterms:W3CDTF">2015-06-05T18:17:20Z</dcterms:created>
  <dcterms:modified xsi:type="dcterms:W3CDTF">2026-01-04T06:21:32Z</dcterms:modified>
</cp:coreProperties>
</file>